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usdalakerfigenschou/Downloads/"/>
    </mc:Choice>
  </mc:AlternateContent>
  <xr:revisionPtr revIDLastSave="0" documentId="8_{7B718F47-1F14-B641-AE8F-6A4BD78E4782}" xr6:coauthVersionLast="47" xr6:coauthVersionMax="47" xr10:uidLastSave="{00000000-0000-0000-0000-000000000000}"/>
  <bookViews>
    <workbookView xWindow="0" yWindow="680" windowWidth="34560" windowHeight="21660" activeTab="7" xr2:uid="{00000000-000D-0000-FFFF-FFFF00000000}"/>
  </bookViews>
  <sheets>
    <sheet name="Final" sheetId="8" r:id="rId1"/>
    <sheet name="Area (final)" sheetId="7" r:id="rId2"/>
    <sheet name="uM (final) " sheetId="6" r:id="rId3"/>
    <sheet name="Calibration curve" sheetId="4" r:id="rId4"/>
    <sheet name="Area (LOQ)" sheetId="5" r:id="rId5"/>
    <sheet name="Area" sheetId="1" r:id="rId6"/>
    <sheet name="RT" sheetId="3" r:id="rId7"/>
    <sheet name="Height" sheetId="2" r:id="rId8"/>
    <sheet name="Graphs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9" i="6" l="1"/>
  <c r="AI9" i="6" s="1"/>
  <c r="AI4" i="6"/>
  <c r="AI5" i="6"/>
  <c r="AI6" i="6"/>
  <c r="AI7" i="6"/>
  <c r="AI8" i="6"/>
  <c r="AI10" i="6"/>
  <c r="AI11" i="6"/>
  <c r="AI12" i="6"/>
  <c r="AI13" i="6"/>
  <c r="AI14" i="6"/>
  <c r="AI3" i="6"/>
  <c r="BF51" i="6"/>
  <c r="BF52" i="6"/>
  <c r="BF53" i="6"/>
  <c r="BF54" i="6"/>
  <c r="BF55" i="6"/>
  <c r="BF56" i="6"/>
  <c r="BF57" i="6"/>
  <c r="BF58" i="6"/>
  <c r="BF59" i="6"/>
  <c r="BF60" i="6"/>
  <c r="BF61" i="6"/>
  <c r="BF62" i="6"/>
  <c r="BF63" i="6"/>
  <c r="BF64" i="6"/>
  <c r="BF65" i="6"/>
  <c r="BF66" i="6"/>
  <c r="BF67" i="6"/>
  <c r="BF68" i="6"/>
  <c r="BF69" i="6"/>
  <c r="BF70" i="6"/>
  <c r="BF71" i="6"/>
  <c r="BF72" i="6"/>
  <c r="BF73" i="6"/>
  <c r="BF74" i="6"/>
  <c r="BE60" i="6"/>
  <c r="BE62" i="6"/>
  <c r="BE64" i="6"/>
  <c r="BE51" i="6"/>
  <c r="BE52" i="6"/>
  <c r="BE53" i="6"/>
  <c r="BE54" i="6"/>
  <c r="BE55" i="6"/>
  <c r="BE56" i="6"/>
  <c r="BE57" i="6"/>
  <c r="BE58" i="6"/>
  <c r="BE59" i="6"/>
  <c r="BE61" i="6"/>
  <c r="BE63" i="6"/>
  <c r="BE65" i="6"/>
  <c r="BE66" i="6"/>
  <c r="BE67" i="6"/>
  <c r="BE68" i="6"/>
  <c r="BE69" i="6"/>
  <c r="BE70" i="6"/>
  <c r="BE71" i="6"/>
  <c r="BE72" i="6"/>
  <c r="BE73" i="6"/>
  <c r="BE74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F42" i="6" l="1"/>
  <c r="BD18" i="6"/>
  <c r="BD42" i="6"/>
  <c r="BE18" i="6"/>
  <c r="BE42" i="6"/>
  <c r="BF18" i="6"/>
  <c r="BD17" i="6"/>
  <c r="BF41" i="6"/>
  <c r="BD41" i="6"/>
  <c r="BE17" i="6"/>
  <c r="BE41" i="6"/>
  <c r="BF17" i="6"/>
  <c r="BD40" i="6"/>
  <c r="BE16" i="6"/>
  <c r="BE40" i="6"/>
  <c r="BF16" i="6"/>
  <c r="BF40" i="6"/>
  <c r="BD16" i="6"/>
  <c r="BD39" i="6"/>
  <c r="BE15" i="6"/>
  <c r="BE39" i="6"/>
  <c r="BF15" i="6"/>
  <c r="BD15" i="6"/>
  <c r="BF39" i="6"/>
  <c r="BD14" i="6"/>
  <c r="BF38" i="6"/>
  <c r="BD38" i="6"/>
  <c r="BE14" i="6"/>
  <c r="BE38" i="6"/>
  <c r="BF14" i="6"/>
  <c r="BD37" i="6"/>
  <c r="BE13" i="6"/>
  <c r="BE37" i="6"/>
  <c r="BF13" i="6"/>
  <c r="BF37" i="6"/>
  <c r="BD13" i="6"/>
  <c r="BD36" i="6"/>
  <c r="BE12" i="6"/>
  <c r="BE36" i="6"/>
  <c r="BF12" i="6"/>
  <c r="BD12" i="6"/>
  <c r="BF36" i="6"/>
  <c r="BD11" i="6"/>
  <c r="BF35" i="6"/>
  <c r="BD35" i="6"/>
  <c r="BE11" i="6"/>
  <c r="BE35" i="6"/>
  <c r="BF11" i="6"/>
  <c r="BD10" i="6"/>
  <c r="BD34" i="6"/>
  <c r="BE10" i="6"/>
  <c r="BE34" i="6"/>
  <c r="BF10" i="6"/>
  <c r="BF34" i="6"/>
  <c r="BD33" i="6"/>
  <c r="BE9" i="6"/>
  <c r="BE33" i="6"/>
  <c r="BF9" i="6"/>
  <c r="BF33" i="6"/>
  <c r="BD9" i="6"/>
  <c r="BD8" i="6"/>
  <c r="BF32" i="6"/>
  <c r="BD32" i="6"/>
  <c r="BE8" i="6"/>
  <c r="BE32" i="6"/>
  <c r="BF8" i="6"/>
  <c r="BD31" i="6"/>
  <c r="BE7" i="6"/>
  <c r="BE31" i="6"/>
  <c r="BF7" i="6"/>
  <c r="BD7" i="6"/>
  <c r="BF31" i="6"/>
  <c r="BD30" i="6"/>
  <c r="BE6" i="6"/>
  <c r="BE30" i="6"/>
  <c r="BF6" i="6"/>
  <c r="BD6" i="6"/>
  <c r="BF30" i="6"/>
  <c r="BD29" i="6"/>
  <c r="BE5" i="6"/>
  <c r="BE29" i="6"/>
  <c r="BF5" i="6"/>
  <c r="BF29" i="6"/>
  <c r="BD5" i="6"/>
  <c r="BD4" i="6"/>
  <c r="BF28" i="6"/>
  <c r="BD28" i="6"/>
  <c r="BE4" i="6"/>
  <c r="BE28" i="6"/>
  <c r="BF4" i="6"/>
  <c r="BF3" i="6"/>
  <c r="BE3" i="6"/>
  <c r="BE27" i="6"/>
  <c r="BF27" i="6"/>
  <c r="BD3" i="6"/>
  <c r="BD27" i="6"/>
  <c r="P38" i="6"/>
  <c r="P36" i="6"/>
  <c r="O36" i="6"/>
  <c r="O38" i="6" s="1"/>
  <c r="B54" i="4"/>
  <c r="N18" i="6" s="1"/>
  <c r="D56" i="4"/>
  <c r="C56" i="4"/>
  <c r="B56" i="4"/>
  <c r="D55" i="4"/>
  <c r="C55" i="4"/>
  <c r="B55" i="4"/>
  <c r="N19" i="6" s="1"/>
  <c r="D54" i="4"/>
  <c r="C54" i="4"/>
  <c r="B12" i="4"/>
  <c r="N4" i="6" s="1"/>
  <c r="D41" i="4"/>
  <c r="C41" i="4"/>
  <c r="B41" i="4"/>
  <c r="D27" i="4"/>
  <c r="C27" i="4"/>
  <c r="B27" i="4"/>
  <c r="E13" i="4"/>
  <c r="D13" i="4"/>
  <c r="C13" i="4"/>
  <c r="B13" i="4"/>
  <c r="D40" i="4"/>
  <c r="P12" i="6" s="1"/>
  <c r="C40" i="4"/>
  <c r="O12" i="6" s="1"/>
  <c r="B40" i="4"/>
  <c r="N12" i="6" s="1"/>
  <c r="D39" i="4"/>
  <c r="P11" i="6" s="1"/>
  <c r="C39" i="4"/>
  <c r="O11" i="6" s="1"/>
  <c r="B39" i="4"/>
  <c r="N11" i="6" s="1"/>
  <c r="D26" i="4"/>
  <c r="P8" i="6" s="1"/>
  <c r="C26" i="4"/>
  <c r="O8" i="6" s="1"/>
  <c r="B26" i="4"/>
  <c r="N8" i="6" s="1"/>
  <c r="D25" i="4"/>
  <c r="P7" i="6" s="1"/>
  <c r="C25" i="4"/>
  <c r="O7" i="6" s="1"/>
  <c r="B25" i="4"/>
  <c r="N7" i="6" s="1"/>
  <c r="E12" i="4"/>
  <c r="Q4" i="6" s="1"/>
  <c r="E11" i="4"/>
  <c r="Q3" i="6" s="1"/>
  <c r="D12" i="4"/>
  <c r="P4" i="6" s="1"/>
  <c r="D11" i="4"/>
  <c r="P3" i="6" s="1"/>
  <c r="C12" i="4"/>
  <c r="O4" i="6" s="1"/>
  <c r="C11" i="4"/>
  <c r="O3" i="6" s="1"/>
  <c r="B11" i="4"/>
  <c r="N3" i="6" s="1"/>
  <c r="X50" i="6" l="1"/>
  <c r="AI50" i="6" s="1"/>
  <c r="AB33" i="6"/>
  <c r="AM33" i="6" s="1"/>
  <c r="V28" i="6"/>
  <c r="AG28" i="6" s="1"/>
  <c r="W32" i="6"/>
  <c r="AH32" i="6" s="1"/>
  <c r="U7" i="6"/>
  <c r="AF7" i="6" s="1"/>
  <c r="Z33" i="6"/>
  <c r="AK33" i="6" s="1"/>
  <c r="AA34" i="6"/>
  <c r="AL34" i="6" s="1"/>
  <c r="Y33" i="6"/>
  <c r="AJ33" i="6" s="1"/>
  <c r="AB48" i="6"/>
  <c r="AM48" i="6" s="1"/>
  <c r="AB40" i="6"/>
  <c r="AM40" i="6" s="1"/>
  <c r="AB32" i="6"/>
  <c r="AM32" i="6" s="1"/>
  <c r="AA49" i="6"/>
  <c r="AL49" i="6" s="1"/>
  <c r="AA41" i="6"/>
  <c r="AL41" i="6" s="1"/>
  <c r="AA33" i="6"/>
  <c r="AL33" i="6" s="1"/>
  <c r="Z48" i="6"/>
  <c r="AK48" i="6" s="1"/>
  <c r="Z40" i="6"/>
  <c r="AK40" i="6" s="1"/>
  <c r="Z32" i="6"/>
  <c r="AK32" i="6" s="1"/>
  <c r="Y48" i="6"/>
  <c r="AJ48" i="6" s="1"/>
  <c r="Y40" i="6"/>
  <c r="AJ40" i="6" s="1"/>
  <c r="Y32" i="6"/>
  <c r="AJ32" i="6" s="1"/>
  <c r="W47" i="6"/>
  <c r="AH47" i="6" s="1"/>
  <c r="W39" i="6"/>
  <c r="AH39" i="6" s="1"/>
  <c r="W31" i="6"/>
  <c r="AH31" i="6" s="1"/>
  <c r="F47" i="8"/>
  <c r="F39" i="8"/>
  <c r="F31" i="8"/>
  <c r="V47" i="6"/>
  <c r="AG47" i="6" s="1"/>
  <c r="V39" i="6"/>
  <c r="AG39" i="6" s="1"/>
  <c r="V31" i="6"/>
  <c r="AG31" i="6" s="1"/>
  <c r="U45" i="6"/>
  <c r="AF45" i="6" s="1"/>
  <c r="U37" i="6"/>
  <c r="AF37" i="6" s="1"/>
  <c r="U29" i="6"/>
  <c r="AF29" i="6" s="1"/>
  <c r="X41" i="6"/>
  <c r="AI41" i="6" s="1"/>
  <c r="X33" i="6"/>
  <c r="AI33" i="6" s="1"/>
  <c r="U25" i="6"/>
  <c r="AF25" i="6" s="1"/>
  <c r="U17" i="6"/>
  <c r="AF17" i="6" s="1"/>
  <c r="U9" i="6"/>
  <c r="AF9" i="6" s="1"/>
  <c r="AB47" i="6"/>
  <c r="AM47" i="6" s="1"/>
  <c r="AB39" i="6"/>
  <c r="AM39" i="6" s="1"/>
  <c r="AB31" i="6"/>
  <c r="AM31" i="6" s="1"/>
  <c r="AA48" i="6"/>
  <c r="AL48" i="6" s="1"/>
  <c r="AA40" i="6"/>
  <c r="AL40" i="6" s="1"/>
  <c r="AA32" i="6"/>
  <c r="AL32" i="6" s="1"/>
  <c r="Z47" i="6"/>
  <c r="AK47" i="6" s="1"/>
  <c r="Z39" i="6"/>
  <c r="AK39" i="6" s="1"/>
  <c r="Z31" i="6"/>
  <c r="AK31" i="6" s="1"/>
  <c r="Y47" i="6"/>
  <c r="AJ47" i="6" s="1"/>
  <c r="Y39" i="6"/>
  <c r="AJ39" i="6" s="1"/>
  <c r="Y31" i="6"/>
  <c r="AJ31" i="6" s="1"/>
  <c r="W46" i="6"/>
  <c r="AH46" i="6" s="1"/>
  <c r="W38" i="6"/>
  <c r="AH38" i="6" s="1"/>
  <c r="W30" i="6"/>
  <c r="AH30" i="6" s="1"/>
  <c r="F46" i="8"/>
  <c r="F38" i="8"/>
  <c r="F30" i="8"/>
  <c r="V46" i="6"/>
  <c r="AG46" i="6" s="1"/>
  <c r="V38" i="6"/>
  <c r="AG38" i="6" s="1"/>
  <c r="V30" i="6"/>
  <c r="AG30" i="6" s="1"/>
  <c r="U44" i="6"/>
  <c r="AF44" i="6" s="1"/>
  <c r="U36" i="6"/>
  <c r="AF36" i="6" s="1"/>
  <c r="U28" i="6"/>
  <c r="AF28" i="6" s="1"/>
  <c r="X40" i="6"/>
  <c r="AI40" i="6" s="1"/>
  <c r="X32" i="6"/>
  <c r="AI32" i="6" s="1"/>
  <c r="U24" i="6"/>
  <c r="AF24" i="6" s="1"/>
  <c r="U16" i="6"/>
  <c r="AF16" i="6" s="1"/>
  <c r="U8" i="6"/>
  <c r="AF8" i="6" s="1"/>
  <c r="AB46" i="6"/>
  <c r="AM46" i="6" s="1"/>
  <c r="AB38" i="6"/>
  <c r="AM38" i="6" s="1"/>
  <c r="AB30" i="6"/>
  <c r="AM30" i="6" s="1"/>
  <c r="AA47" i="6"/>
  <c r="AL47" i="6" s="1"/>
  <c r="AA39" i="6"/>
  <c r="AL39" i="6" s="1"/>
  <c r="AA31" i="6"/>
  <c r="AL31" i="6" s="1"/>
  <c r="Z46" i="6"/>
  <c r="AK46" i="6" s="1"/>
  <c r="Z38" i="6"/>
  <c r="AK38" i="6" s="1"/>
  <c r="Z30" i="6"/>
  <c r="AK30" i="6" s="1"/>
  <c r="Y46" i="6"/>
  <c r="AJ46" i="6" s="1"/>
  <c r="Y38" i="6"/>
  <c r="AJ38" i="6" s="1"/>
  <c r="Y30" i="6"/>
  <c r="AJ30" i="6" s="1"/>
  <c r="W45" i="6"/>
  <c r="AH45" i="6" s="1"/>
  <c r="W37" i="6"/>
  <c r="AH37" i="6" s="1"/>
  <c r="W29" i="6"/>
  <c r="AH29" i="6" s="1"/>
  <c r="F45" i="8"/>
  <c r="F37" i="8"/>
  <c r="F29" i="8"/>
  <c r="V45" i="6"/>
  <c r="AG45" i="6" s="1"/>
  <c r="V37" i="6"/>
  <c r="AG37" i="6" s="1"/>
  <c r="V29" i="6"/>
  <c r="AG29" i="6" s="1"/>
  <c r="W27" i="6"/>
  <c r="AH27" i="6" s="1"/>
  <c r="U43" i="6"/>
  <c r="AF43" i="6" s="1"/>
  <c r="U35" i="6"/>
  <c r="AF35" i="6" s="1"/>
  <c r="X27" i="6"/>
  <c r="AI27" i="6" s="1"/>
  <c r="X39" i="6"/>
  <c r="AI39" i="6" s="1"/>
  <c r="X31" i="6"/>
  <c r="AI31" i="6" s="1"/>
  <c r="U23" i="6"/>
  <c r="AF23" i="6" s="1"/>
  <c r="U15" i="6"/>
  <c r="AF15" i="6" s="1"/>
  <c r="U27" i="6"/>
  <c r="AF27" i="6" s="1"/>
  <c r="AB45" i="6"/>
  <c r="AM45" i="6" s="1"/>
  <c r="AB37" i="6"/>
  <c r="AM37" i="6" s="1"/>
  <c r="AB29" i="6"/>
  <c r="AM29" i="6" s="1"/>
  <c r="AA46" i="6"/>
  <c r="AL46" i="6" s="1"/>
  <c r="AA38" i="6"/>
  <c r="AL38" i="6" s="1"/>
  <c r="AA30" i="6"/>
  <c r="AL30" i="6" s="1"/>
  <c r="Z45" i="6"/>
  <c r="AK45" i="6" s="1"/>
  <c r="Z37" i="6"/>
  <c r="AK37" i="6" s="1"/>
  <c r="Z29" i="6"/>
  <c r="AK29" i="6" s="1"/>
  <c r="Y45" i="6"/>
  <c r="AJ45" i="6" s="1"/>
  <c r="Y37" i="6"/>
  <c r="AJ37" i="6" s="1"/>
  <c r="Y29" i="6"/>
  <c r="AJ29" i="6" s="1"/>
  <c r="W44" i="6"/>
  <c r="AH44" i="6" s="1"/>
  <c r="W36" i="6"/>
  <c r="AH36" i="6" s="1"/>
  <c r="W28" i="6"/>
  <c r="AH28" i="6" s="1"/>
  <c r="F44" i="8"/>
  <c r="F36" i="8"/>
  <c r="F28" i="8"/>
  <c r="V44" i="6"/>
  <c r="AG44" i="6" s="1"/>
  <c r="V36" i="6"/>
  <c r="AG36" i="6" s="1"/>
  <c r="U50" i="6"/>
  <c r="AF50" i="6" s="1"/>
  <c r="U42" i="6"/>
  <c r="AF42" i="6" s="1"/>
  <c r="U34" i="6"/>
  <c r="AF34" i="6" s="1"/>
  <c r="X47" i="6"/>
  <c r="AI47" i="6" s="1"/>
  <c r="X38" i="6"/>
  <c r="AI38" i="6" s="1"/>
  <c r="X30" i="6"/>
  <c r="AI30" i="6" s="1"/>
  <c r="U22" i="6"/>
  <c r="AF22" i="6" s="1"/>
  <c r="U14" i="6"/>
  <c r="AF14" i="6" s="1"/>
  <c r="U6" i="6"/>
  <c r="AF6" i="6" s="1"/>
  <c r="AB44" i="6"/>
  <c r="AM44" i="6" s="1"/>
  <c r="AB36" i="6"/>
  <c r="AM36" i="6" s="1"/>
  <c r="AB28" i="6"/>
  <c r="AM28" i="6" s="1"/>
  <c r="AA45" i="6"/>
  <c r="AL45" i="6" s="1"/>
  <c r="AA37" i="6"/>
  <c r="AL37" i="6" s="1"/>
  <c r="AA29" i="6"/>
  <c r="AL29" i="6" s="1"/>
  <c r="Z44" i="6"/>
  <c r="AK44" i="6" s="1"/>
  <c r="Z36" i="6"/>
  <c r="AK36" i="6" s="1"/>
  <c r="Z28" i="6"/>
  <c r="AK28" i="6" s="1"/>
  <c r="Y44" i="6"/>
  <c r="AJ44" i="6" s="1"/>
  <c r="Y36" i="6"/>
  <c r="AJ36" i="6" s="1"/>
  <c r="Y28" i="6"/>
  <c r="AJ28" i="6" s="1"/>
  <c r="W43" i="6"/>
  <c r="AH43" i="6" s="1"/>
  <c r="W35" i="6"/>
  <c r="AH35" i="6" s="1"/>
  <c r="F27" i="8"/>
  <c r="F43" i="8"/>
  <c r="F35" i="8"/>
  <c r="V27" i="6"/>
  <c r="AG27" i="6" s="1"/>
  <c r="V43" i="6"/>
  <c r="AG43" i="6" s="1"/>
  <c r="V35" i="6"/>
  <c r="AG35" i="6" s="1"/>
  <c r="U49" i="6"/>
  <c r="AF49" i="6" s="1"/>
  <c r="U41" i="6"/>
  <c r="AF41" i="6" s="1"/>
  <c r="U33" i="6"/>
  <c r="AF33" i="6" s="1"/>
  <c r="X46" i="6"/>
  <c r="AI46" i="6" s="1"/>
  <c r="X37" i="6"/>
  <c r="AI37" i="6" s="1"/>
  <c r="X29" i="6"/>
  <c r="AI29" i="6" s="1"/>
  <c r="U21" i="6"/>
  <c r="AF21" i="6" s="1"/>
  <c r="U13" i="6"/>
  <c r="AF13" i="6" s="1"/>
  <c r="U5" i="6"/>
  <c r="AF5" i="6" s="1"/>
  <c r="X45" i="6"/>
  <c r="AI45" i="6" s="1"/>
  <c r="AA27" i="6"/>
  <c r="AL27" i="6" s="1"/>
  <c r="AB43" i="6"/>
  <c r="AM43" i="6" s="1"/>
  <c r="AB35" i="6"/>
  <c r="AM35" i="6" s="1"/>
  <c r="AB27" i="6"/>
  <c r="AM27" i="6" s="1"/>
  <c r="AA44" i="6"/>
  <c r="AL44" i="6" s="1"/>
  <c r="AA36" i="6"/>
  <c r="AL36" i="6" s="1"/>
  <c r="Z27" i="6"/>
  <c r="AK27" i="6" s="1"/>
  <c r="Z43" i="6"/>
  <c r="AK43" i="6" s="1"/>
  <c r="Z35" i="6"/>
  <c r="AK35" i="6" s="1"/>
  <c r="Y27" i="6"/>
  <c r="AJ27" i="6" s="1"/>
  <c r="Y43" i="6"/>
  <c r="AJ43" i="6" s="1"/>
  <c r="Y35" i="6"/>
  <c r="AJ35" i="6" s="1"/>
  <c r="W50" i="6"/>
  <c r="AH50" i="6" s="1"/>
  <c r="W42" i="6"/>
  <c r="AH42" i="6" s="1"/>
  <c r="W34" i="6"/>
  <c r="AH34" i="6" s="1"/>
  <c r="F50" i="8"/>
  <c r="F42" i="8"/>
  <c r="F34" i="8"/>
  <c r="V50" i="6"/>
  <c r="AG50" i="6" s="1"/>
  <c r="V42" i="6"/>
  <c r="AG42" i="6" s="1"/>
  <c r="V34" i="6"/>
  <c r="AG34" i="6" s="1"/>
  <c r="U48" i="6"/>
  <c r="AF48" i="6" s="1"/>
  <c r="U40" i="6"/>
  <c r="AF40" i="6" s="1"/>
  <c r="U32" i="6"/>
  <c r="AF32" i="6" s="1"/>
  <c r="X44" i="6"/>
  <c r="AI44" i="6" s="1"/>
  <c r="X36" i="6"/>
  <c r="AI36" i="6" s="1"/>
  <c r="X28" i="6"/>
  <c r="AI28" i="6" s="1"/>
  <c r="U20" i="6"/>
  <c r="AF20" i="6" s="1"/>
  <c r="U12" i="6"/>
  <c r="AF12" i="6" s="1"/>
  <c r="U4" i="6"/>
  <c r="AF4" i="6" s="1"/>
  <c r="X49" i="6"/>
  <c r="AI49" i="6" s="1"/>
  <c r="AB50" i="6"/>
  <c r="AM50" i="6" s="1"/>
  <c r="AB42" i="6"/>
  <c r="AM42" i="6" s="1"/>
  <c r="AB34" i="6"/>
  <c r="AM34" i="6" s="1"/>
  <c r="AA28" i="6"/>
  <c r="AL28" i="6" s="1"/>
  <c r="AA43" i="6"/>
  <c r="AL43" i="6" s="1"/>
  <c r="AA35" i="6"/>
  <c r="AL35" i="6" s="1"/>
  <c r="Z50" i="6"/>
  <c r="AK50" i="6" s="1"/>
  <c r="Z42" i="6"/>
  <c r="AK42" i="6" s="1"/>
  <c r="Z34" i="6"/>
  <c r="AK34" i="6" s="1"/>
  <c r="Y50" i="6"/>
  <c r="AJ50" i="6" s="1"/>
  <c r="Y42" i="6"/>
  <c r="AJ42" i="6" s="1"/>
  <c r="Y34" i="6"/>
  <c r="AJ34" i="6" s="1"/>
  <c r="W49" i="6"/>
  <c r="AH49" i="6" s="1"/>
  <c r="W41" i="6"/>
  <c r="AH41" i="6" s="1"/>
  <c r="W33" i="6"/>
  <c r="AH33" i="6" s="1"/>
  <c r="F49" i="8"/>
  <c r="F41" i="8"/>
  <c r="F33" i="8"/>
  <c r="V49" i="6"/>
  <c r="AG49" i="6" s="1"/>
  <c r="V41" i="6"/>
  <c r="AG41" i="6" s="1"/>
  <c r="V33" i="6"/>
  <c r="AG33" i="6" s="1"/>
  <c r="U47" i="6"/>
  <c r="AF47" i="6" s="1"/>
  <c r="U39" i="6"/>
  <c r="AF39" i="6" s="1"/>
  <c r="U31" i="6"/>
  <c r="AF31" i="6" s="1"/>
  <c r="X43" i="6"/>
  <c r="AI43" i="6" s="1"/>
  <c r="X35" i="6"/>
  <c r="AI35" i="6" s="1"/>
  <c r="U19" i="6"/>
  <c r="AF19" i="6" s="1"/>
  <c r="U11" i="6"/>
  <c r="AF11" i="6" s="1"/>
  <c r="U3" i="6"/>
  <c r="AF3" i="6" s="1"/>
  <c r="X48" i="6"/>
  <c r="AI48" i="6" s="1"/>
  <c r="AB49" i="6"/>
  <c r="AM49" i="6" s="1"/>
  <c r="AB41" i="6"/>
  <c r="AM41" i="6" s="1"/>
  <c r="AA50" i="6"/>
  <c r="AL50" i="6" s="1"/>
  <c r="AA42" i="6"/>
  <c r="AL42" i="6" s="1"/>
  <c r="Z49" i="6"/>
  <c r="AK49" i="6" s="1"/>
  <c r="Z41" i="6"/>
  <c r="AK41" i="6" s="1"/>
  <c r="Y49" i="6"/>
  <c r="AJ49" i="6" s="1"/>
  <c r="Y41" i="6"/>
  <c r="AJ41" i="6" s="1"/>
  <c r="W48" i="6"/>
  <c r="AH48" i="6" s="1"/>
  <c r="W40" i="6"/>
  <c r="AH40" i="6" s="1"/>
  <c r="F48" i="8"/>
  <c r="F40" i="8"/>
  <c r="V48" i="6"/>
  <c r="AG48" i="6" s="1"/>
  <c r="V40" i="6"/>
  <c r="AG40" i="6" s="1"/>
  <c r="V32" i="6"/>
  <c r="AG32" i="6" s="1"/>
  <c r="U46" i="6"/>
  <c r="AF46" i="6" s="1"/>
  <c r="U38" i="6"/>
  <c r="AF38" i="6" s="1"/>
  <c r="U30" i="6"/>
  <c r="AF30" i="6" s="1"/>
  <c r="X42" i="6"/>
  <c r="AI42" i="6" s="1"/>
  <c r="X34" i="6"/>
  <c r="AI34" i="6" s="1"/>
  <c r="U26" i="6"/>
  <c r="AF26" i="6" s="1"/>
  <c r="U18" i="6"/>
  <c r="AF18" i="6" s="1"/>
  <c r="U10" i="6"/>
  <c r="AF10" i="6" s="1"/>
  <c r="X15" i="6"/>
  <c r="AI15" i="6" s="1"/>
  <c r="AB4" i="6"/>
  <c r="AM4" i="6" s="1"/>
  <c r="AB10" i="6"/>
  <c r="AM10" i="6" s="1"/>
  <c r="AB12" i="6"/>
  <c r="AM12" i="6" s="1"/>
  <c r="AB13" i="6"/>
  <c r="AM13" i="6" s="1"/>
  <c r="AB21" i="6"/>
  <c r="AM21" i="6" s="1"/>
  <c r="AB14" i="6"/>
  <c r="AM14" i="6" s="1"/>
  <c r="AB19" i="6"/>
  <c r="AM19" i="6" s="1"/>
  <c r="AB24" i="6"/>
  <c r="AM24" i="6" s="1"/>
  <c r="AB25" i="6"/>
  <c r="AM25" i="6" s="1"/>
  <c r="AB6" i="6"/>
  <c r="AM6" i="6" s="1"/>
  <c r="AB9" i="6"/>
  <c r="AM9" i="6" s="1"/>
  <c r="AB11" i="6"/>
  <c r="AM11" i="6" s="1"/>
  <c r="AB15" i="6"/>
  <c r="AM15" i="6" s="1"/>
  <c r="AB5" i="6"/>
  <c r="AM5" i="6" s="1"/>
  <c r="AB18" i="6"/>
  <c r="AM18" i="6" s="1"/>
  <c r="AB23" i="6"/>
  <c r="AM23" i="6" s="1"/>
  <c r="AB7" i="6"/>
  <c r="AM7" i="6" s="1"/>
  <c r="AB22" i="6"/>
  <c r="AM22" i="6" s="1"/>
  <c r="AB8" i="6"/>
  <c r="AM8" i="6" s="1"/>
  <c r="AB16" i="6"/>
  <c r="AM16" i="6" s="1"/>
  <c r="AB17" i="6"/>
  <c r="AM17" i="6" s="1"/>
  <c r="AB20" i="6"/>
  <c r="AM20" i="6" s="1"/>
  <c r="AB26" i="6"/>
  <c r="AM26" i="6" s="1"/>
  <c r="AB3" i="6"/>
  <c r="AM3" i="6" s="1"/>
  <c r="V20" i="6"/>
  <c r="AG20" i="6" s="1"/>
  <c r="V18" i="6"/>
  <c r="AG18" i="6" s="1"/>
  <c r="V3" i="6"/>
  <c r="AG3" i="6" s="1"/>
  <c r="V71" i="6"/>
  <c r="V70" i="6"/>
  <c r="V68" i="6"/>
  <c r="V66" i="6"/>
  <c r="V65" i="6"/>
  <c r="V64" i="6"/>
  <c r="V62" i="6"/>
  <c r="V24" i="6"/>
  <c r="AG24" i="6" s="1"/>
  <c r="V21" i="6"/>
  <c r="AG21" i="6" s="1"/>
  <c r="V53" i="6"/>
  <c r="V54" i="6"/>
  <c r="V74" i="6"/>
  <c r="V57" i="6"/>
  <c r="V58" i="6"/>
  <c r="V59" i="6"/>
  <c r="V67" i="6"/>
  <c r="V69" i="6"/>
  <c r="V63" i="6"/>
  <c r="V73" i="6"/>
  <c r="V56" i="6"/>
  <c r="V4" i="6"/>
  <c r="AG4" i="6" s="1"/>
  <c r="V52" i="6"/>
  <c r="V5" i="6"/>
  <c r="AG5" i="6" s="1"/>
  <c r="V6" i="6"/>
  <c r="AG6" i="6" s="1"/>
  <c r="V7" i="6"/>
  <c r="AG7" i="6" s="1"/>
  <c r="V8" i="6"/>
  <c r="AG8" i="6" s="1"/>
  <c r="V9" i="6"/>
  <c r="AG9" i="6" s="1"/>
  <c r="V10" i="6"/>
  <c r="AG10" i="6" s="1"/>
  <c r="V11" i="6"/>
  <c r="AG11" i="6" s="1"/>
  <c r="V61" i="6"/>
  <c r="V12" i="6"/>
  <c r="AG12" i="6" s="1"/>
  <c r="V13" i="6"/>
  <c r="AG13" i="6" s="1"/>
  <c r="V60" i="6"/>
  <c r="V14" i="6"/>
  <c r="AG14" i="6" s="1"/>
  <c r="V15" i="6"/>
  <c r="AG15" i="6" s="1"/>
  <c r="V26" i="6"/>
  <c r="AG26" i="6" s="1"/>
  <c r="V16" i="6"/>
  <c r="AG16" i="6" s="1"/>
  <c r="V25" i="6"/>
  <c r="AG25" i="6" s="1"/>
  <c r="V23" i="6"/>
  <c r="AG23" i="6" s="1"/>
  <c r="V17" i="6"/>
  <c r="AG17" i="6" s="1"/>
  <c r="V72" i="6"/>
  <c r="V19" i="6"/>
  <c r="AG19" i="6" s="1"/>
  <c r="V55" i="6"/>
  <c r="V22" i="6"/>
  <c r="AG22" i="6" s="1"/>
  <c r="V51" i="6"/>
  <c r="F71" i="8"/>
  <c r="F70" i="8"/>
  <c r="F52" i="8"/>
  <c r="F68" i="8"/>
  <c r="F54" i="8"/>
  <c r="F66" i="8"/>
  <c r="F55" i="8"/>
  <c r="F74" i="8"/>
  <c r="F56" i="8"/>
  <c r="F65" i="8"/>
  <c r="F58" i="8"/>
  <c r="F72" i="8"/>
  <c r="F57" i="8"/>
  <c r="F67" i="8"/>
  <c r="F63" i="8"/>
  <c r="F64" i="8"/>
  <c r="F69" i="8"/>
  <c r="F59" i="8"/>
  <c r="F62" i="8"/>
  <c r="F73" i="8"/>
  <c r="F53" i="8"/>
  <c r="F51" i="8"/>
  <c r="F32" i="8"/>
  <c r="F60" i="8"/>
  <c r="F61" i="8"/>
  <c r="X57" i="6"/>
  <c r="X65" i="6"/>
  <c r="X68" i="6"/>
  <c r="X64" i="6"/>
  <c r="X23" i="6"/>
  <c r="AI23" i="6" s="1"/>
  <c r="X63" i="6"/>
  <c r="X58" i="6"/>
  <c r="X71" i="6"/>
  <c r="X17" i="6"/>
  <c r="AI17" i="6" s="1"/>
  <c r="X25" i="6"/>
  <c r="AI25" i="6" s="1"/>
  <c r="X62" i="6"/>
  <c r="X73" i="6"/>
  <c r="X69" i="6"/>
  <c r="X56" i="6"/>
  <c r="X72" i="6"/>
  <c r="X55" i="6"/>
  <c r="X20" i="6"/>
  <c r="AI20" i="6" s="1"/>
  <c r="X59" i="6"/>
  <c r="X74" i="6"/>
  <c r="X53" i="6"/>
  <c r="X26" i="6"/>
  <c r="AI26" i="6" s="1"/>
  <c r="X22" i="6"/>
  <c r="AI22" i="6" s="1"/>
  <c r="X18" i="6"/>
  <c r="AI18" i="6" s="1"/>
  <c r="X52" i="6"/>
  <c r="X19" i="6"/>
  <c r="AI19" i="6" s="1"/>
  <c r="X51" i="6"/>
  <c r="X54" i="6"/>
  <c r="X24" i="6"/>
  <c r="AI24" i="6" s="1"/>
  <c r="X70" i="6"/>
  <c r="X60" i="6"/>
  <c r="X66" i="6"/>
  <c r="X61" i="6"/>
  <c r="X21" i="6"/>
  <c r="AI21" i="6" s="1"/>
  <c r="X67" i="6"/>
  <c r="X16" i="6"/>
  <c r="AI16" i="6" s="1"/>
  <c r="Y56" i="6"/>
  <c r="Y9" i="6"/>
  <c r="AJ9" i="6" s="1"/>
  <c r="Y73" i="6"/>
  <c r="Y72" i="6"/>
  <c r="Y11" i="6"/>
  <c r="AJ11" i="6" s="1"/>
  <c r="Y12" i="6"/>
  <c r="AJ12" i="6" s="1"/>
  <c r="Y8" i="6"/>
  <c r="AJ8" i="6" s="1"/>
  <c r="Y13" i="6"/>
  <c r="AJ13" i="6" s="1"/>
  <c r="Y70" i="6"/>
  <c r="Y14" i="6"/>
  <c r="AJ14" i="6" s="1"/>
  <c r="Y7" i="6"/>
  <c r="AJ7" i="6" s="1"/>
  <c r="Y67" i="6"/>
  <c r="Y25" i="6"/>
  <c r="AJ25" i="6" s="1"/>
  <c r="Y66" i="6"/>
  <c r="Y16" i="6"/>
  <c r="AJ16" i="6" s="1"/>
  <c r="Y6" i="6"/>
  <c r="AJ6" i="6" s="1"/>
  <c r="Y17" i="6"/>
  <c r="AJ17" i="6" s="1"/>
  <c r="Y22" i="6"/>
  <c r="AJ22" i="6" s="1"/>
  <c r="Y20" i="6"/>
  <c r="AJ20" i="6" s="1"/>
  <c r="Y5" i="6"/>
  <c r="AJ5" i="6" s="1"/>
  <c r="Y19" i="6"/>
  <c r="AJ19" i="6" s="1"/>
  <c r="Y18" i="6"/>
  <c r="AJ18" i="6" s="1"/>
  <c r="Y15" i="6"/>
  <c r="AJ15" i="6" s="1"/>
  <c r="Y52" i="6"/>
  <c r="Y21" i="6"/>
  <c r="AJ21" i="6" s="1"/>
  <c r="Y24" i="6"/>
  <c r="AJ24" i="6" s="1"/>
  <c r="Y4" i="6"/>
  <c r="AJ4" i="6" s="1"/>
  <c r="Y26" i="6"/>
  <c r="AJ26" i="6" s="1"/>
  <c r="Y53" i="6"/>
  <c r="Y3" i="6"/>
  <c r="AJ3" i="6" s="1"/>
  <c r="Y60" i="6"/>
  <c r="Y23" i="6"/>
  <c r="AJ23" i="6" s="1"/>
  <c r="Y58" i="6"/>
  <c r="Y71" i="6"/>
  <c r="Y61" i="6"/>
  <c r="Y64" i="6"/>
  <c r="Y57" i="6"/>
  <c r="Y68" i="6"/>
  <c r="Y65" i="6"/>
  <c r="Y51" i="6"/>
  <c r="Y63" i="6"/>
  <c r="Y10" i="6"/>
  <c r="AJ10" i="6" s="1"/>
  <c r="Y54" i="6"/>
  <c r="Y62" i="6"/>
  <c r="Y69" i="6"/>
  <c r="Y59" i="6"/>
  <c r="Y74" i="6"/>
  <c r="Y55" i="6"/>
  <c r="Z4" i="6"/>
  <c r="AK4" i="6" s="1"/>
  <c r="Z67" i="6"/>
  <c r="Z10" i="6"/>
  <c r="AK10" i="6" s="1"/>
  <c r="Z72" i="6"/>
  <c r="Z9" i="6"/>
  <c r="AK9" i="6" s="1"/>
  <c r="Z70" i="6"/>
  <c r="Z69" i="6"/>
  <c r="Z11" i="6"/>
  <c r="AK11" i="6" s="1"/>
  <c r="Z66" i="6"/>
  <c r="Z25" i="6"/>
  <c r="AK25" i="6" s="1"/>
  <c r="Z62" i="6"/>
  <c r="Z12" i="6"/>
  <c r="AK12" i="6" s="1"/>
  <c r="Z61" i="6"/>
  <c r="Z24" i="6"/>
  <c r="AK24" i="6" s="1"/>
  <c r="Z60" i="6"/>
  <c r="Z8" i="6"/>
  <c r="AK8" i="6" s="1"/>
  <c r="Z59" i="6"/>
  <c r="Z13" i="6"/>
  <c r="AK13" i="6" s="1"/>
  <c r="Z20" i="6"/>
  <c r="AK20" i="6" s="1"/>
  <c r="Z18" i="6"/>
  <c r="AK18" i="6" s="1"/>
  <c r="Z53" i="6"/>
  <c r="Z3" i="6"/>
  <c r="AK3" i="6" s="1"/>
  <c r="Z54" i="6"/>
  <c r="Z55" i="6"/>
  <c r="Z14" i="6"/>
  <c r="AK14" i="6" s="1"/>
  <c r="Z56" i="6"/>
  <c r="Z7" i="6"/>
  <c r="AK7" i="6" s="1"/>
  <c r="Z73" i="6"/>
  <c r="Z58" i="6"/>
  <c r="Z15" i="6"/>
  <c r="AK15" i="6" s="1"/>
  <c r="Z63" i="6"/>
  <c r="Z71" i="6"/>
  <c r="Z65" i="6"/>
  <c r="Z64" i="6"/>
  <c r="Z68" i="6"/>
  <c r="Z16" i="6"/>
  <c r="AK16" i="6" s="1"/>
  <c r="Z6" i="6"/>
  <c r="AK6" i="6" s="1"/>
  <c r="Z57" i="6"/>
  <c r="Z22" i="6"/>
  <c r="AK22" i="6" s="1"/>
  <c r="Z17" i="6"/>
  <c r="AK17" i="6" s="1"/>
  <c r="Z74" i="6"/>
  <c r="Z26" i="6"/>
  <c r="AK26" i="6" s="1"/>
  <c r="Z21" i="6"/>
  <c r="AK21" i="6" s="1"/>
  <c r="Z23" i="6"/>
  <c r="AK23" i="6" s="1"/>
  <c r="Z52" i="6"/>
  <c r="Z5" i="6"/>
  <c r="AK5" i="6" s="1"/>
  <c r="Z51" i="6"/>
  <c r="Z19" i="6"/>
  <c r="AK19" i="6" s="1"/>
  <c r="AA63" i="6"/>
  <c r="AA56" i="6"/>
  <c r="AA51" i="6"/>
  <c r="AA4" i="6"/>
  <c r="AL4" i="6" s="1"/>
  <c r="AA21" i="6"/>
  <c r="AL21" i="6" s="1"/>
  <c r="AA10" i="6"/>
  <c r="AL10" i="6" s="1"/>
  <c r="AA19" i="6"/>
  <c r="AL19" i="6" s="1"/>
  <c r="AA74" i="6"/>
  <c r="AA71" i="6"/>
  <c r="AA5" i="6"/>
  <c r="AL5" i="6" s="1"/>
  <c r="AA9" i="6"/>
  <c r="AL9" i="6" s="1"/>
  <c r="AA26" i="6"/>
  <c r="AL26" i="6" s="1"/>
  <c r="AA52" i="6"/>
  <c r="AA11" i="6"/>
  <c r="AL11" i="6" s="1"/>
  <c r="AA17" i="6"/>
  <c r="AL17" i="6" s="1"/>
  <c r="AA57" i="6"/>
  <c r="AA67" i="6"/>
  <c r="AA65" i="6"/>
  <c r="AA22" i="6"/>
  <c r="AL22" i="6" s="1"/>
  <c r="AA3" i="6"/>
  <c r="AL3" i="6" s="1"/>
  <c r="AA70" i="6"/>
  <c r="AA60" i="6"/>
  <c r="AA24" i="6"/>
  <c r="AL24" i="6" s="1"/>
  <c r="AA12" i="6"/>
  <c r="AL12" i="6" s="1"/>
  <c r="AA6" i="6"/>
  <c r="AL6" i="6" s="1"/>
  <c r="AA73" i="6"/>
  <c r="AA23" i="6"/>
  <c r="AL23" i="6" s="1"/>
  <c r="AA8" i="6"/>
  <c r="AL8" i="6" s="1"/>
  <c r="AA59" i="6"/>
  <c r="AA68" i="6"/>
  <c r="AA20" i="6"/>
  <c r="AL20" i="6" s="1"/>
  <c r="AA13" i="6"/>
  <c r="AL13" i="6" s="1"/>
  <c r="AA66" i="6"/>
  <c r="AA64" i="6"/>
  <c r="AA18" i="6"/>
  <c r="AL18" i="6" s="1"/>
  <c r="AA16" i="6"/>
  <c r="AL16" i="6" s="1"/>
  <c r="AA54" i="6"/>
  <c r="AA53" i="6"/>
  <c r="AA25" i="6"/>
  <c r="AL25" i="6" s="1"/>
  <c r="AA7" i="6"/>
  <c r="AL7" i="6" s="1"/>
  <c r="AA55" i="6"/>
  <c r="AA14" i="6"/>
  <c r="AL14" i="6" s="1"/>
  <c r="AA62" i="6"/>
  <c r="AA61" i="6"/>
  <c r="AA69" i="6"/>
  <c r="AA58" i="6"/>
  <c r="AA15" i="6"/>
  <c r="AL15" i="6" s="1"/>
  <c r="AA72" i="6"/>
  <c r="W5" i="6"/>
  <c r="AH5" i="6" s="1"/>
  <c r="W26" i="6"/>
  <c r="AH26" i="6" s="1"/>
  <c r="W58" i="6"/>
  <c r="W60" i="6"/>
  <c r="W7" i="6"/>
  <c r="AH7" i="6" s="1"/>
  <c r="W74" i="6"/>
  <c r="W68" i="6"/>
  <c r="W20" i="6"/>
  <c r="AH20" i="6" s="1"/>
  <c r="W63" i="6"/>
  <c r="W17" i="6"/>
  <c r="AH17" i="6" s="1"/>
  <c r="W15" i="6"/>
  <c r="AH15" i="6" s="1"/>
  <c r="W53" i="6"/>
  <c r="W54" i="6"/>
  <c r="W8" i="6"/>
  <c r="AH8" i="6" s="1"/>
  <c r="W10" i="6"/>
  <c r="AH10" i="6" s="1"/>
  <c r="W25" i="6"/>
  <c r="AH25" i="6" s="1"/>
  <c r="W52" i="6"/>
  <c r="W57" i="6"/>
  <c r="W16" i="6"/>
  <c r="AH16" i="6" s="1"/>
  <c r="W59" i="6"/>
  <c r="W23" i="6"/>
  <c r="AH23" i="6" s="1"/>
  <c r="W13" i="6"/>
  <c r="AH13" i="6" s="1"/>
  <c r="W21" i="6"/>
  <c r="AH21" i="6" s="1"/>
  <c r="W64" i="6"/>
  <c r="W24" i="6"/>
  <c r="AH24" i="6" s="1"/>
  <c r="W61" i="6"/>
  <c r="W69" i="6"/>
  <c r="W62" i="6"/>
  <c r="W56" i="6"/>
  <c r="W12" i="6"/>
  <c r="AH12" i="6" s="1"/>
  <c r="W65" i="6"/>
  <c r="W73" i="6"/>
  <c r="W66" i="6"/>
  <c r="W55" i="6"/>
  <c r="W67" i="6"/>
  <c r="W6" i="6"/>
  <c r="AH6" i="6" s="1"/>
  <c r="W3" i="6"/>
  <c r="W9" i="6"/>
  <c r="AH9" i="6" s="1"/>
  <c r="W51" i="6"/>
  <c r="W70" i="6"/>
  <c r="W4" i="6"/>
  <c r="AH4" i="6" s="1"/>
  <c r="W11" i="6"/>
  <c r="AH11" i="6" s="1"/>
  <c r="W71" i="6"/>
  <c r="W18" i="6"/>
  <c r="AH18" i="6" s="1"/>
  <c r="W72" i="6"/>
  <c r="W22" i="6"/>
  <c r="AH22" i="6" s="1"/>
  <c r="W19" i="6"/>
  <c r="AH19" i="6" s="1"/>
  <c r="W14" i="6"/>
  <c r="AH14" i="6" s="1"/>
  <c r="U74" i="6"/>
  <c r="U52" i="6"/>
  <c r="U65" i="6"/>
  <c r="U72" i="6"/>
  <c r="U59" i="6"/>
  <c r="U70" i="6"/>
  <c r="U51" i="6"/>
  <c r="U66" i="6"/>
  <c r="U67" i="6"/>
  <c r="U68" i="6"/>
  <c r="U60" i="6"/>
  <c r="U73" i="6"/>
  <c r="U53" i="6"/>
  <c r="U54" i="6"/>
  <c r="U57" i="6"/>
  <c r="U58" i="6"/>
  <c r="U64" i="6"/>
  <c r="U69" i="6"/>
  <c r="U55" i="6"/>
  <c r="U56" i="6"/>
  <c r="U61" i="6"/>
  <c r="U62" i="6"/>
  <c r="U63" i="6"/>
  <c r="U71" i="6"/>
  <c r="AH3" i="6" l="1"/>
  <c r="BD47" i="6"/>
  <c r="BE23" i="6"/>
  <c r="BE47" i="6"/>
  <c r="BF23" i="6"/>
  <c r="BF47" i="6"/>
  <c r="BD23" i="6"/>
  <c r="BD46" i="6"/>
  <c r="BE22" i="6"/>
  <c r="BE46" i="6"/>
  <c r="BF22" i="6"/>
  <c r="BD22" i="6"/>
  <c r="BF46" i="6"/>
  <c r="BD45" i="6"/>
  <c r="BE21" i="6"/>
  <c r="BE45" i="6"/>
  <c r="BF21" i="6"/>
  <c r="BF45" i="6"/>
  <c r="BD21" i="6"/>
  <c r="BD44" i="6"/>
  <c r="BE20" i="6"/>
  <c r="BE44" i="6"/>
  <c r="BF20" i="6"/>
  <c r="BD20" i="6"/>
  <c r="BF44" i="6"/>
  <c r="BD43" i="6"/>
  <c r="BE19" i="6"/>
  <c r="BE43" i="6"/>
  <c r="BF19" i="6"/>
  <c r="BD19" i="6"/>
  <c r="BF43" i="6"/>
  <c r="BD48" i="6"/>
  <c r="BE24" i="6"/>
  <c r="BE48" i="6"/>
  <c r="BF24" i="6"/>
  <c r="BF48" i="6"/>
  <c r="BD24" i="6"/>
  <c r="F18" i="8"/>
  <c r="F11" i="8"/>
  <c r="F21" i="8"/>
  <c r="F24" i="8"/>
  <c r="F19" i="8"/>
  <c r="F22" i="8"/>
  <c r="F3" i="8"/>
  <c r="F20" i="8"/>
  <c r="F17" i="8"/>
  <c r="F23" i="8"/>
  <c r="F16" i="8"/>
  <c r="F25" i="8"/>
  <c r="F15" i="8"/>
  <c r="F26" i="8"/>
  <c r="F4" i="8"/>
  <c r="F14" i="8"/>
  <c r="F5" i="8"/>
  <c r="F6" i="8"/>
  <c r="F7" i="8"/>
  <c r="F13" i="8"/>
  <c r="F8" i="8"/>
  <c r="F9" i="8"/>
  <c r="F12" i="8"/>
  <c r="F10" i="8"/>
  <c r="I43" i="8"/>
  <c r="I56" i="8"/>
  <c r="I40" i="8"/>
  <c r="I9" i="8"/>
  <c r="I44" i="8"/>
  <c r="I73" i="8"/>
  <c r="I72" i="8"/>
  <c r="I34" i="8"/>
  <c r="I11" i="8"/>
  <c r="I12" i="8"/>
  <c r="I33" i="8"/>
  <c r="I8" i="8"/>
  <c r="I13" i="8"/>
  <c r="I70" i="8"/>
  <c r="I30" i="8"/>
  <c r="I37" i="8"/>
  <c r="I28" i="8"/>
  <c r="I14" i="8"/>
  <c r="I29" i="8"/>
  <c r="I7" i="8"/>
  <c r="I67" i="8"/>
  <c r="I25" i="8"/>
  <c r="I66" i="8"/>
  <c r="I16" i="8"/>
  <c r="I39" i="8"/>
  <c r="I6" i="8"/>
  <c r="I17" i="8"/>
  <c r="I50" i="8"/>
  <c r="I22" i="8"/>
  <c r="I20" i="8"/>
  <c r="I27" i="8"/>
  <c r="I5" i="8"/>
  <c r="I19" i="8"/>
  <c r="I18" i="8"/>
  <c r="I15" i="8"/>
  <c r="I52" i="8"/>
  <c r="I21" i="8"/>
  <c r="I24" i="8"/>
  <c r="I4" i="8"/>
  <c r="I26" i="8"/>
  <c r="I46" i="8"/>
  <c r="I53" i="8"/>
  <c r="I3" i="8"/>
  <c r="I60" i="8"/>
  <c r="I23" i="8"/>
  <c r="I47" i="8"/>
  <c r="I31" i="8"/>
  <c r="I58" i="8"/>
  <c r="I71" i="8"/>
  <c r="I32" i="8"/>
  <c r="I61" i="8"/>
  <c r="I64" i="8"/>
  <c r="I35" i="8"/>
  <c r="I57" i="8"/>
  <c r="I68" i="8"/>
  <c r="I65" i="8"/>
  <c r="I36" i="8"/>
  <c r="I38" i="8"/>
  <c r="I51" i="8"/>
  <c r="I63" i="8"/>
  <c r="I42" i="8"/>
  <c r="I10" i="8"/>
  <c r="I54" i="8"/>
  <c r="I62" i="8"/>
  <c r="I69" i="8"/>
  <c r="I59" i="8"/>
  <c r="I41" i="8"/>
  <c r="I49" i="8"/>
  <c r="I74" i="8"/>
  <c r="I55" i="8"/>
  <c r="I45" i="8"/>
  <c r="I48" i="8"/>
  <c r="J30" i="8"/>
  <c r="J4" i="8"/>
  <c r="J67" i="8"/>
  <c r="J42" i="8"/>
  <c r="J10" i="8"/>
  <c r="J32" i="8"/>
  <c r="J72" i="8"/>
  <c r="J35" i="8"/>
  <c r="J36" i="8"/>
  <c r="J9" i="8"/>
  <c r="J70" i="8"/>
  <c r="J37" i="8"/>
  <c r="J69" i="8"/>
  <c r="J11" i="8"/>
  <c r="J29" i="8"/>
  <c r="J38" i="8"/>
  <c r="J44" i="8"/>
  <c r="J66" i="8"/>
  <c r="J39" i="8"/>
  <c r="J27" i="8"/>
  <c r="J25" i="8"/>
  <c r="J62" i="8"/>
  <c r="J12" i="8"/>
  <c r="J61" i="8"/>
  <c r="J33" i="8"/>
  <c r="J24" i="8"/>
  <c r="J60" i="8"/>
  <c r="J47" i="8"/>
  <c r="J48" i="8"/>
  <c r="J8" i="8"/>
  <c r="J59" i="8"/>
  <c r="J13" i="8"/>
  <c r="J20" i="8"/>
  <c r="J18" i="8"/>
  <c r="J53" i="8"/>
  <c r="J46" i="8"/>
  <c r="J3" i="8"/>
  <c r="J49" i="8"/>
  <c r="J54" i="8"/>
  <c r="J55" i="8"/>
  <c r="J14" i="8"/>
  <c r="J56" i="8"/>
  <c r="J45" i="8"/>
  <c r="J7" i="8"/>
  <c r="J73" i="8"/>
  <c r="J43" i="8"/>
  <c r="J58" i="8"/>
  <c r="J15" i="8"/>
  <c r="J41" i="8"/>
  <c r="J40" i="8"/>
  <c r="J63" i="8"/>
  <c r="J71" i="8"/>
  <c r="J65" i="8"/>
  <c r="J64" i="8"/>
  <c r="J68" i="8"/>
  <c r="J34" i="8"/>
  <c r="J16" i="8"/>
  <c r="J6" i="8"/>
  <c r="J57" i="8"/>
  <c r="J31" i="8"/>
  <c r="J22" i="8"/>
  <c r="J28" i="8"/>
  <c r="J17" i="8"/>
  <c r="J74" i="8"/>
  <c r="J50" i="8"/>
  <c r="J26" i="8"/>
  <c r="J21" i="8"/>
  <c r="J23" i="8"/>
  <c r="J52" i="8"/>
  <c r="J5" i="8"/>
  <c r="J51" i="8"/>
  <c r="J19" i="8"/>
  <c r="K63" i="8"/>
  <c r="K56" i="8"/>
  <c r="K47" i="8"/>
  <c r="K46" i="8"/>
  <c r="K51" i="8"/>
  <c r="K4" i="8"/>
  <c r="K21" i="8"/>
  <c r="K10" i="8"/>
  <c r="K19" i="8"/>
  <c r="K74" i="8"/>
  <c r="K33" i="8"/>
  <c r="K71" i="8"/>
  <c r="K5" i="8"/>
  <c r="K9" i="8"/>
  <c r="K29" i="8"/>
  <c r="K38" i="8"/>
  <c r="K26" i="8"/>
  <c r="K52" i="8"/>
  <c r="K11" i="8"/>
  <c r="K27" i="8"/>
  <c r="K37" i="8"/>
  <c r="K17" i="8"/>
  <c r="K57" i="8"/>
  <c r="K67" i="8"/>
  <c r="K36" i="8"/>
  <c r="K28" i="8"/>
  <c r="K35" i="8"/>
  <c r="K39" i="8"/>
  <c r="K65" i="8"/>
  <c r="K42" i="8"/>
  <c r="K22" i="8"/>
  <c r="K31" i="8"/>
  <c r="K44" i="8"/>
  <c r="K3" i="8"/>
  <c r="K43" i="8"/>
  <c r="K70" i="8"/>
  <c r="K60" i="8"/>
  <c r="K24" i="8"/>
  <c r="K12" i="8"/>
  <c r="K6" i="8"/>
  <c r="K34" i="8"/>
  <c r="K73" i="8"/>
  <c r="K23" i="8"/>
  <c r="K8" i="8"/>
  <c r="K32" i="8"/>
  <c r="K59" i="8"/>
  <c r="K68" i="8"/>
  <c r="K48" i="8"/>
  <c r="K20" i="8"/>
  <c r="K13" i="8"/>
  <c r="K49" i="8"/>
  <c r="K50" i="8"/>
  <c r="K66" i="8"/>
  <c r="K64" i="8"/>
  <c r="K18" i="8"/>
  <c r="K30" i="8"/>
  <c r="K16" i="8"/>
  <c r="K54" i="8"/>
  <c r="K53" i="8"/>
  <c r="K25" i="8"/>
  <c r="K7" i="8"/>
  <c r="K55" i="8"/>
  <c r="K14" i="8"/>
  <c r="K40" i="8"/>
  <c r="K62" i="8"/>
  <c r="K61" i="8"/>
  <c r="K45" i="8"/>
  <c r="K69" i="8"/>
  <c r="K58" i="8"/>
  <c r="K15" i="8"/>
  <c r="K41" i="8"/>
  <c r="K72" i="8"/>
  <c r="C3" i="8"/>
  <c r="H57" i="8"/>
  <c r="H65" i="8"/>
  <c r="H11" i="8"/>
  <c r="H68" i="8"/>
  <c r="H64" i="8"/>
  <c r="H23" i="8"/>
  <c r="H63" i="8"/>
  <c r="H58" i="8"/>
  <c r="H71" i="8"/>
  <c r="H17" i="8"/>
  <c r="H25" i="8"/>
  <c r="H62" i="8"/>
  <c r="H73" i="8"/>
  <c r="H69" i="8"/>
  <c r="H56" i="8"/>
  <c r="H72" i="8"/>
  <c r="H55" i="8"/>
  <c r="H15" i="8"/>
  <c r="H20" i="8"/>
  <c r="H59" i="8"/>
  <c r="H74" i="8"/>
  <c r="H53" i="8"/>
  <c r="H26" i="8"/>
  <c r="H14" i="8"/>
  <c r="H22" i="8"/>
  <c r="H18" i="8"/>
  <c r="H52" i="8"/>
  <c r="H4" i="8"/>
  <c r="H30" i="8"/>
  <c r="H19" i="8"/>
  <c r="H5" i="8"/>
  <c r="H51" i="8"/>
  <c r="H54" i="8"/>
  <c r="H49" i="8"/>
  <c r="H6" i="8"/>
  <c r="H13" i="8"/>
  <c r="H31" i="8"/>
  <c r="H48" i="8"/>
  <c r="H47" i="8"/>
  <c r="H32" i="8"/>
  <c r="H33" i="8"/>
  <c r="H34" i="8"/>
  <c r="H7" i="8"/>
  <c r="H24" i="8"/>
  <c r="H50" i="8"/>
  <c r="H46" i="8"/>
  <c r="H8" i="8"/>
  <c r="H3" i="8"/>
  <c r="H35" i="8"/>
  <c r="H9" i="8"/>
  <c r="H44" i="8"/>
  <c r="H27" i="8"/>
  <c r="H36" i="8"/>
  <c r="H43" i="8"/>
  <c r="H70" i="8"/>
  <c r="H12" i="8"/>
  <c r="H28" i="8"/>
  <c r="H39" i="8"/>
  <c r="H38" i="8"/>
  <c r="H45" i="8"/>
  <c r="H60" i="8"/>
  <c r="H29" i="8"/>
  <c r="H40" i="8"/>
  <c r="H42" i="8"/>
  <c r="H37" i="8"/>
  <c r="H10" i="8"/>
  <c r="H66" i="8"/>
  <c r="H61" i="8"/>
  <c r="H41" i="8"/>
  <c r="H21" i="8"/>
  <c r="H67" i="8"/>
  <c r="H16" i="8"/>
  <c r="G5" i="8"/>
  <c r="G43" i="8"/>
  <c r="G26" i="8"/>
  <c r="G58" i="8"/>
  <c r="G27" i="8"/>
  <c r="G60" i="8"/>
  <c r="G7" i="8"/>
  <c r="G74" i="8"/>
  <c r="G68" i="8"/>
  <c r="G40" i="8"/>
  <c r="G20" i="8"/>
  <c r="G63" i="8"/>
  <c r="G17" i="8"/>
  <c r="G15" i="8"/>
  <c r="G53" i="8"/>
  <c r="G49" i="8"/>
  <c r="G54" i="8"/>
  <c r="G8" i="8"/>
  <c r="G38" i="8"/>
  <c r="G10" i="8"/>
  <c r="G25" i="8"/>
  <c r="G52" i="8"/>
  <c r="G57" i="8"/>
  <c r="G16" i="8"/>
  <c r="G59" i="8"/>
  <c r="G23" i="8"/>
  <c r="G46" i="8"/>
  <c r="G35" i="8"/>
  <c r="G13" i="8"/>
  <c r="G21" i="8"/>
  <c r="G47" i="8"/>
  <c r="G64" i="8"/>
  <c r="G24" i="8"/>
  <c r="G61" i="8"/>
  <c r="G45" i="8"/>
  <c r="G69" i="8"/>
  <c r="G32" i="8"/>
  <c r="G62" i="8"/>
  <c r="G50" i="8"/>
  <c r="G34" i="8"/>
  <c r="G56" i="8"/>
  <c r="G12" i="8"/>
  <c r="G28" i="8"/>
  <c r="G65" i="8"/>
  <c r="G31" i="8"/>
  <c r="G73" i="8"/>
  <c r="G66" i="8"/>
  <c r="G55" i="8"/>
  <c r="G39" i="8"/>
  <c r="G67" i="8"/>
  <c r="G29" i="8"/>
  <c r="G6" i="8"/>
  <c r="G3" i="8"/>
  <c r="G9" i="8"/>
  <c r="G51" i="8"/>
  <c r="G70" i="8"/>
  <c r="G4" i="8"/>
  <c r="G37" i="8"/>
  <c r="G11" i="8"/>
  <c r="G71" i="8"/>
  <c r="G18" i="8"/>
  <c r="G36" i="8"/>
  <c r="G44" i="8"/>
  <c r="G72" i="8"/>
  <c r="G30" i="8"/>
  <c r="G41" i="8"/>
  <c r="G22" i="8"/>
  <c r="G33" i="8"/>
  <c r="G19" i="8"/>
  <c r="G14" i="8"/>
  <c r="G42" i="8"/>
  <c r="G48" i="8"/>
  <c r="E20" i="8"/>
  <c r="E33" i="8"/>
  <c r="E32" i="8"/>
  <c r="E34" i="8"/>
  <c r="E18" i="8"/>
  <c r="E3" i="8"/>
  <c r="E42" i="8"/>
  <c r="E71" i="8"/>
  <c r="E70" i="8"/>
  <c r="E68" i="8"/>
  <c r="E66" i="8"/>
  <c r="E65" i="8"/>
  <c r="E64" i="8"/>
  <c r="E62" i="8"/>
  <c r="E30" i="8"/>
  <c r="E29" i="8"/>
  <c r="E27" i="8"/>
  <c r="E46" i="8"/>
  <c r="E24" i="8"/>
  <c r="E47" i="8"/>
  <c r="E48" i="8"/>
  <c r="E21" i="8"/>
  <c r="E50" i="8"/>
  <c r="E53" i="8"/>
  <c r="E54" i="8"/>
  <c r="E74" i="8"/>
  <c r="E57" i="8"/>
  <c r="E58" i="8"/>
  <c r="E59" i="8"/>
  <c r="E67" i="8"/>
  <c r="E69" i="8"/>
  <c r="E63" i="8"/>
  <c r="E73" i="8"/>
  <c r="E56" i="8"/>
  <c r="E4" i="8"/>
  <c r="E52" i="8"/>
  <c r="E5" i="8"/>
  <c r="E6" i="8"/>
  <c r="E7" i="8"/>
  <c r="E8" i="8"/>
  <c r="E9" i="8"/>
  <c r="E43" i="8"/>
  <c r="E10" i="8"/>
  <c r="E11" i="8"/>
  <c r="E40" i="8"/>
  <c r="E39" i="8"/>
  <c r="E61" i="8"/>
  <c r="E38" i="8"/>
  <c r="E37" i="8"/>
  <c r="E12" i="8"/>
  <c r="E13" i="8"/>
  <c r="E60" i="8"/>
  <c r="E14" i="8"/>
  <c r="E15" i="8"/>
  <c r="E26" i="8"/>
  <c r="E16" i="8"/>
  <c r="E25" i="8"/>
  <c r="E23" i="8"/>
  <c r="E17" i="8"/>
  <c r="E72" i="8"/>
  <c r="E19" i="8"/>
  <c r="E55" i="8"/>
  <c r="E22" i="8"/>
  <c r="E28" i="8"/>
  <c r="E31" i="8"/>
  <c r="E51" i="8"/>
  <c r="E49" i="8"/>
  <c r="E35" i="8"/>
  <c r="E36" i="8"/>
  <c r="E45" i="8"/>
  <c r="E41" i="8"/>
  <c r="E44" i="8"/>
  <c r="B42" i="8"/>
  <c r="B43" i="8"/>
  <c r="B41" i="8"/>
  <c r="B12" i="8"/>
  <c r="B45" i="8"/>
  <c r="B11" i="8"/>
  <c r="B30" i="8"/>
  <c r="B38" i="8"/>
  <c r="B39" i="8"/>
  <c r="B40" i="8"/>
  <c r="B34" i="8"/>
  <c r="B37" i="8"/>
  <c r="B46" i="8"/>
  <c r="B10" i="8"/>
  <c r="B36" i="8"/>
  <c r="B48" i="8"/>
  <c r="B13" i="8"/>
  <c r="B25" i="8"/>
  <c r="B9" i="8"/>
  <c r="B44" i="8"/>
  <c r="B49" i="8"/>
  <c r="B33" i="8"/>
  <c r="B65" i="8"/>
  <c r="B47" i="8"/>
  <c r="B8" i="8"/>
  <c r="B35" i="8"/>
  <c r="B32" i="8"/>
  <c r="B53" i="8"/>
  <c r="B29" i="8"/>
  <c r="B66" i="8"/>
  <c r="B50" i="8"/>
  <c r="B7" i="8"/>
  <c r="B28" i="8"/>
  <c r="B31" i="8"/>
  <c r="B68" i="8"/>
  <c r="B14" i="8"/>
  <c r="B6" i="8"/>
  <c r="B27" i="8"/>
  <c r="B20" i="8"/>
  <c r="B60" i="8"/>
  <c r="B52" i="8"/>
  <c r="B71" i="8"/>
  <c r="B55" i="8"/>
  <c r="B5" i="8"/>
  <c r="B51" i="8"/>
  <c r="B54" i="8"/>
  <c r="B15" i="8"/>
  <c r="B22" i="8"/>
  <c r="B21" i="8"/>
  <c r="B4" i="8"/>
  <c r="B17" i="8"/>
  <c r="B56" i="8"/>
  <c r="B26" i="8"/>
  <c r="B19" i="8"/>
  <c r="B74" i="8"/>
  <c r="B72" i="8"/>
  <c r="B59" i="8"/>
  <c r="B16" i="8"/>
  <c r="B70" i="8"/>
  <c r="B57" i="8"/>
  <c r="B62" i="8"/>
  <c r="B73" i="8"/>
  <c r="B18" i="8"/>
  <c r="B23" i="8"/>
  <c r="B58" i="8"/>
  <c r="B24" i="8"/>
  <c r="B61" i="8"/>
  <c r="B63" i="8"/>
  <c r="B69" i="8"/>
  <c r="B64" i="8"/>
  <c r="B67" i="8"/>
  <c r="D74" i="8"/>
  <c r="D49" i="8"/>
  <c r="D45" i="8"/>
  <c r="D58" i="8"/>
  <c r="D43" i="8"/>
  <c r="D70" i="8"/>
  <c r="D42" i="8"/>
  <c r="D54" i="8"/>
  <c r="D41" i="8"/>
  <c r="D55" i="8"/>
  <c r="D63" i="8"/>
  <c r="D51" i="8"/>
  <c r="D38" i="8"/>
  <c r="D67" i="8"/>
  <c r="D65" i="8"/>
  <c r="D36" i="8"/>
  <c r="D20" i="8"/>
  <c r="D59" i="8"/>
  <c r="D69" i="8"/>
  <c r="D35" i="8"/>
  <c r="D64" i="8"/>
  <c r="D34" i="8"/>
  <c r="D60" i="8"/>
  <c r="D21" i="8"/>
  <c r="D71" i="8"/>
  <c r="D48" i="8"/>
  <c r="D73" i="8"/>
  <c r="D57" i="8"/>
  <c r="D61" i="8"/>
  <c r="D29" i="8"/>
  <c r="D28" i="8"/>
  <c r="D24" i="8"/>
  <c r="D27" i="8"/>
  <c r="D47" i="8"/>
  <c r="D4" i="8"/>
  <c r="D53" i="8"/>
  <c r="D46" i="8"/>
  <c r="D22" i="8"/>
  <c r="D44" i="8"/>
  <c r="D5" i="8"/>
  <c r="D52" i="8"/>
  <c r="D62" i="8"/>
  <c r="D19" i="8"/>
  <c r="D18" i="8"/>
  <c r="D6" i="8"/>
  <c r="D66" i="8"/>
  <c r="D23" i="8"/>
  <c r="D17" i="8"/>
  <c r="D50" i="8"/>
  <c r="D7" i="8"/>
  <c r="D25" i="8"/>
  <c r="D16" i="8"/>
  <c r="D39" i="8"/>
  <c r="D26" i="8"/>
  <c r="D68" i="8"/>
  <c r="D15" i="8"/>
  <c r="D8" i="8"/>
  <c r="D33" i="8"/>
  <c r="D14" i="8"/>
  <c r="D30" i="8"/>
  <c r="D37" i="8"/>
  <c r="D31" i="8"/>
  <c r="D13" i="8"/>
  <c r="D9" i="8"/>
  <c r="D72" i="8"/>
  <c r="D12" i="8"/>
  <c r="D32" i="8"/>
  <c r="D40" i="8"/>
  <c r="D3" i="8"/>
  <c r="D11" i="8"/>
  <c r="D10" i="8"/>
  <c r="D56" i="8"/>
  <c r="B3" i="8"/>
  <c r="C26" i="8"/>
  <c r="C74" i="8"/>
  <c r="C9" i="8"/>
  <c r="C38" i="8"/>
  <c r="C39" i="8"/>
  <c r="C40" i="8"/>
  <c r="C41" i="8"/>
  <c r="C42" i="8"/>
  <c r="C43" i="8"/>
  <c r="C44" i="8"/>
  <c r="C45" i="8"/>
  <c r="C52" i="8"/>
  <c r="C65" i="8"/>
  <c r="C72" i="8"/>
  <c r="C59" i="8"/>
  <c r="C70" i="8"/>
  <c r="C6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7" i="8"/>
  <c r="C27" i="8"/>
  <c r="C28" i="8"/>
  <c r="C29" i="8"/>
  <c r="C30" i="8"/>
  <c r="C31" i="8"/>
  <c r="C32" i="8"/>
  <c r="C33" i="8"/>
  <c r="C34" i="8"/>
  <c r="C35" i="8"/>
  <c r="C51" i="8"/>
  <c r="C66" i="8"/>
  <c r="C67" i="8"/>
  <c r="C68" i="8"/>
  <c r="C5" i="8"/>
  <c r="C50" i="8"/>
  <c r="C60" i="8"/>
  <c r="C73" i="8"/>
  <c r="C8" i="8"/>
  <c r="C36" i="8"/>
  <c r="C53" i="8"/>
  <c r="C54" i="8"/>
  <c r="C57" i="8"/>
  <c r="C58" i="8"/>
  <c r="C64" i="8"/>
  <c r="C69" i="8"/>
  <c r="C4" i="8"/>
  <c r="C37" i="8"/>
  <c r="C46" i="8"/>
  <c r="C48" i="8"/>
  <c r="C49" i="8"/>
  <c r="C55" i="8"/>
  <c r="C56" i="8"/>
  <c r="C61" i="8"/>
  <c r="C62" i="8"/>
  <c r="C63" i="8"/>
  <c r="C71" i="8"/>
  <c r="C47" i="8"/>
  <c r="BD26" i="6" l="1"/>
  <c r="BF50" i="6"/>
  <c r="BD50" i="6"/>
  <c r="BE26" i="6"/>
  <c r="BE50" i="6"/>
  <c r="BF26" i="6"/>
  <c r="BD25" i="6"/>
  <c r="BF49" i="6"/>
  <c r="BD49" i="6"/>
  <c r="BE25" i="6"/>
  <c r="BE49" i="6"/>
  <c r="BF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tc={2B1D09D9-358C-6F4E-916C-BE0E5A5ED2C8}</author>
  </authors>
  <commentList>
    <comment ref="C50" authorId="0" shapeId="0" xr:uid="{2B1D09D9-358C-6F4E-916C-BE0E5A5ED2C8}">
      <text>
        <t>[Threaded comment]
Your version of Excel allows you to read this threaded comment; however, any edits to it will get removed if the file is opened in a newer version of Excel. Learn more: https://go.microsoft.com/fwlink/?linkid=870924
Comment:
    @Lena Elise Høyland
her er verdiene konsistent høye, men de varierer, som G1_P8 er høyere enn G1_P4-G1_P7, samme ser jeg også i B3 kolonnen</t>
      </text>
    </comment>
  </commentList>
</comments>
</file>

<file path=xl/sharedStrings.xml><?xml version="1.0" encoding="utf-8"?>
<sst xmlns="http://schemas.openxmlformats.org/spreadsheetml/2006/main" count="2732" uniqueCount="210">
  <si>
    <t>uM</t>
  </si>
  <si>
    <t>AREA</t>
  </si>
  <si>
    <t>Filename</t>
  </si>
  <si>
    <t>cFMN</t>
  </si>
  <si>
    <t>FAD</t>
  </si>
  <si>
    <t>FMN</t>
  </si>
  <si>
    <t>AceCoA</t>
  </si>
  <si>
    <t>AMP</t>
  </si>
  <si>
    <t>NAD</t>
  </si>
  <si>
    <t>CoA</t>
  </si>
  <si>
    <t>ADP</t>
  </si>
  <si>
    <t>ATP</t>
  </si>
  <si>
    <t>SAM</t>
  </si>
  <si>
    <t>Panthothenic_acid_B5</t>
  </si>
  <si>
    <t>NAM</t>
  </si>
  <si>
    <t>Rivoflavin_B2</t>
  </si>
  <si>
    <t>NADH</t>
  </si>
  <si>
    <t>NADP</t>
  </si>
  <si>
    <t>NADPH</t>
  </si>
  <si>
    <t>1</t>
  </si>
  <si>
    <t>Orange: Height blelow 1E4</t>
  </si>
  <si>
    <t>2</t>
  </si>
  <si>
    <t>Green: not sure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</si>
  <si>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</si>
  <si>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</si>
  <si>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</si>
  <si>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</si>
  <si>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</si>
  <si>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</si>
  <si>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</si>
  <si>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</si>
  <si>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</si>
  <si>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</si>
  <si>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</si>
  <si>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</si>
  <si>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</si>
  <si>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</si>
  <si>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</si>
  <si>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</si>
  <si>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</si>
  <si>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</si>
  <si>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</si>
  <si>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</si>
  <si>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</si>
  <si>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</si>
  <si>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</si>
  <si>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</si>
  <si>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</si>
  <si>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</si>
  <si>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</si>
  <si>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</si>
  <si>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</si>
  <si>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</si>
  <si>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</si>
  <si>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</si>
  <si>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</si>
  <si>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</si>
  <si>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</si>
  <si>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</si>
  <si>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</si>
  <si>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</si>
  <si>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</si>
  <si>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</si>
  <si>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</si>
  <si>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</si>
  <si>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</si>
  <si>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</si>
  <si>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</si>
  <si>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</si>
  <si>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</si>
  <si>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</si>
  <si>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</si>
  <si>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</si>
  <si>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</si>
  <si>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</si>
  <si>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</si>
  <si>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</si>
  <si>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</si>
  <si>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</si>
  <si>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</si>
  <si>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</si>
  <si>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</si>
  <si>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</si>
  <si>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</si>
  <si>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</si>
  <si>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</si>
  <si>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</si>
  <si>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</si>
  <si>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</si>
  <si>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</si>
  <si>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</si>
  <si>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</si>
  <si>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SACH</t>
  </si>
  <si>
    <t>ADRR</t>
  </si>
  <si>
    <t>NMN</t>
  </si>
  <si>
    <t>7</t>
  </si>
  <si>
    <t>Slope, m</t>
  </si>
  <si>
    <t>Intercept, b</t>
  </si>
  <si>
    <t>Y+mX+b</t>
  </si>
  <si>
    <t>X=(Y-b)/m</t>
  </si>
  <si>
    <t>Nominal, uM</t>
  </si>
  <si>
    <t>G1_P1</t>
  </si>
  <si>
    <t>G1_P2</t>
  </si>
  <si>
    <t>G1_P3</t>
  </si>
  <si>
    <t>G1_P4</t>
  </si>
  <si>
    <t>G1_P5</t>
  </si>
  <si>
    <t>G1_P6</t>
  </si>
  <si>
    <t>G1_P7</t>
  </si>
  <si>
    <t>G1_P8</t>
  </si>
  <si>
    <t>Slope</t>
  </si>
  <si>
    <t>Intercept</t>
  </si>
  <si>
    <t>RSQ</t>
  </si>
  <si>
    <t>G2_P1</t>
  </si>
  <si>
    <t>G2_P2</t>
  </si>
  <si>
    <t>G2_P3</t>
  </si>
  <si>
    <t>G2_P4</t>
  </si>
  <si>
    <t>G2_P5</t>
  </si>
  <si>
    <t>G2_P6</t>
  </si>
  <si>
    <t>G2_P7</t>
  </si>
  <si>
    <t>G2_P8</t>
  </si>
  <si>
    <t>G3_P1</t>
  </si>
  <si>
    <t>G3_P2</t>
  </si>
  <si>
    <t>G3_P3</t>
  </si>
  <si>
    <t>G3_P4</t>
  </si>
  <si>
    <t>G3_P5</t>
  </si>
  <si>
    <t>G3_P6</t>
  </si>
  <si>
    <t>G3_P7</t>
  </si>
  <si>
    <t>G3_P8</t>
  </si>
  <si>
    <t>NF</t>
  </si>
  <si>
    <t>Blank_01</t>
  </si>
  <si>
    <t>Blank_07</t>
  </si>
  <si>
    <t>Blank_08</t>
  </si>
  <si>
    <t>Blank_10</t>
  </si>
  <si>
    <t>Blank_11</t>
  </si>
  <si>
    <t>Blank_12</t>
  </si>
  <si>
    <t>Blank_21</t>
  </si>
  <si>
    <t>Blank_a10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</si>
  <si>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</si>
  <si>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</si>
  <si>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</si>
  <si>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</si>
  <si>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</si>
  <si>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</si>
  <si>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</si>
  <si>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</si>
  <si>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</si>
  <si>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</si>
  <si>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</si>
  <si>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</si>
  <si>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</si>
  <si>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</si>
  <si>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</si>
  <si>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</si>
  <si>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</si>
  <si>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</si>
  <si>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QC_1</t>
  </si>
  <si>
    <t>QC_4</t>
  </si>
  <si>
    <t>NAM_B3</t>
  </si>
  <si>
    <t>Sample Name</t>
  </si>
  <si>
    <t>Fully supplemented 24h</t>
  </si>
  <si>
    <t>Not supplemented 24h</t>
  </si>
  <si>
    <t>Without Nicotinamide 24h</t>
  </si>
  <si>
    <t>Without Pantothenic Acid 24h</t>
  </si>
  <si>
    <t>Fully supplemented 72h</t>
  </si>
  <si>
    <t>Not supplemented 72h</t>
  </si>
  <si>
    <t>Without Nicotinamide 72h</t>
  </si>
  <si>
    <t>Without Pantothenic Acid 72h</t>
  </si>
  <si>
    <t>Fully supplemented 24h (concentrated)</t>
  </si>
  <si>
    <t>Not supplemented 24h (concentrated)</t>
  </si>
  <si>
    <t>Without Nicotinamide 24h (concentrated)</t>
  </si>
  <si>
    <t>Without Pantothenic Acid 24h (concentrated)</t>
  </si>
  <si>
    <t>Fully supplemented 72h (concentrated)</t>
  </si>
  <si>
    <t>Not supplemented 72h (concentrated)</t>
  </si>
  <si>
    <t>Without Nicotinamide 72h (concentrated)</t>
  </si>
  <si>
    <t>Without Pantothenic Acid 72h (concentrated)</t>
  </si>
  <si>
    <t>Fully supplemented 24h (medium)</t>
  </si>
  <si>
    <t>Fully supplemented medium 24h (medium)</t>
  </si>
  <si>
    <t>Not supplemented 24h (medium)</t>
  </si>
  <si>
    <t>y = ax + b</t>
  </si>
  <si>
    <t>Slope, a</t>
  </si>
  <si>
    <t>x = (y-b)/a</t>
  </si>
  <si>
    <t>nmol/mg</t>
  </si>
  <si>
    <t>Sample ID</t>
  </si>
  <si>
    <t>Mean Protein samples</t>
  </si>
  <si>
    <t>Mean without lysis</t>
  </si>
  <si>
    <t>Protein Concentration</t>
  </si>
  <si>
    <t>n = c * V</t>
  </si>
  <si>
    <t>c = n/V</t>
  </si>
  <si>
    <t>BCA</t>
  </si>
  <si>
    <t>Days</t>
  </si>
  <si>
    <t>ADPR</t>
  </si>
  <si>
    <t>Total protein mg</t>
  </si>
  <si>
    <t>B2</t>
  </si>
  <si>
    <t>area/mg protein</t>
  </si>
  <si>
    <t>B2 Riboflavin</t>
  </si>
  <si>
    <t>Without B3 24h</t>
  </si>
  <si>
    <t>Without B3 72h</t>
  </si>
  <si>
    <t>Without B3 24h (concentrated)</t>
  </si>
  <si>
    <t>Without B3 72h (concentrated)</t>
  </si>
  <si>
    <t>Without B5 24h</t>
  </si>
  <si>
    <t>Without B5 72h</t>
  </si>
  <si>
    <t>Without B5 24h (concentrated)</t>
  </si>
  <si>
    <t>Without B5 72h (concentrated)</t>
  </si>
  <si>
    <t>w/o B2, B3, B5 24h</t>
  </si>
  <si>
    <t>w/o B2, B3, B5 72h</t>
  </si>
  <si>
    <t>w/o B2, B3, B5 24h (concentrated)</t>
  </si>
  <si>
    <t>w/o B2, B3, B5 72h (concentrated)</t>
  </si>
  <si>
    <t>area</t>
  </si>
  <si>
    <t>Avg total protein (mg)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</si>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</sst>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_-;\-* #,##0.00_-;_-* &quot;-&quot;??_-;_-@_-"/>
    <numFmt numFmtId="165" formatCode="_-* #,##0_-;\-* #,##0_-;_-* &quot;-&quot;??_-;_-@_-"/>
    <numFmt numFmtId="166" formatCode="_-* #,##0.000_-;\-* #,##0.000_-;_-* &quot;-&quot;??_-;_-@_-"/>
    <numFmt numFmtId="167" formatCode="0.00000"/>
    <numFmt numFmtId="168" formatCode="0.000"/>
    <numFmt numFmtId="169" formatCode="#,##0.000_);\(#,##0.000\)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Aptos Narrow"/>
      <family val="2"/>
    </font>
    <font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4" fillId="0" borderId="0"/>
  </cellStyleXfs>
  <cellXfs count="122">
    <xf numFmtId="0" fontId="0" fillId="0" borderId="0" xfId="0"/>
    <xf numFmtId="0" fontId="3" fillId="0" borderId="1" xfId="0" applyFont="1" applyBorder="1" applyAlignment="1">
      <alignment horizontal="center" vertical="top"/>
    </xf>
    <xf numFmtId="165" fontId="0" fillId="0" borderId="0" xfId="1" applyNumberFormat="1" applyFont="1"/>
    <xf numFmtId="165" fontId="5" fillId="0" borderId="0" xfId="1" applyNumberFormat="1" applyFont="1"/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165" fontId="8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5" fontId="5" fillId="0" borderId="1" xfId="1" applyNumberFormat="1" applyFont="1" applyBorder="1"/>
    <xf numFmtId="164" fontId="9" fillId="0" borderId="1" xfId="1" applyFont="1" applyBorder="1"/>
    <xf numFmtId="0" fontId="3" fillId="0" borderId="2" xfId="0" applyFont="1" applyBorder="1" applyAlignment="1">
      <alignment horizontal="center" vertical="top"/>
    </xf>
    <xf numFmtId="165" fontId="8" fillId="0" borderId="1" xfId="1" applyNumberFormat="1" applyFont="1" applyBorder="1"/>
    <xf numFmtId="165" fontId="0" fillId="0" borderId="1" xfId="1" applyNumberFormat="1" applyFont="1" applyBorder="1"/>
    <xf numFmtId="0" fontId="0" fillId="0" borderId="1" xfId="0" applyBorder="1"/>
    <xf numFmtId="165" fontId="11" fillId="0" borderId="0" xfId="1" applyNumberFormat="1" applyFont="1"/>
    <xf numFmtId="0" fontId="11" fillId="0" borderId="0" xfId="0" applyFont="1"/>
    <xf numFmtId="0" fontId="13" fillId="2" borderId="0" xfId="0" applyFont="1" applyFill="1"/>
    <xf numFmtId="0" fontId="3" fillId="0" borderId="3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4" fillId="0" borderId="0" xfId="0" applyFont="1"/>
    <xf numFmtId="0" fontId="7" fillId="0" borderId="0" xfId="0" applyFont="1"/>
    <xf numFmtId="0" fontId="10" fillId="0" borderId="1" xfId="0" applyFont="1" applyBorder="1" applyAlignment="1">
      <alignment horizontal="center" vertical="top"/>
    </xf>
    <xf numFmtId="165" fontId="10" fillId="0" borderId="1" xfId="1" applyNumberFormat="1" applyFont="1" applyBorder="1"/>
    <xf numFmtId="1" fontId="10" fillId="0" borderId="1" xfId="0" applyNumberFormat="1" applyFont="1" applyBorder="1"/>
    <xf numFmtId="167" fontId="10" fillId="0" borderId="1" xfId="0" applyNumberFormat="1" applyFont="1" applyBorder="1"/>
    <xf numFmtId="165" fontId="7" fillId="0" borderId="1" xfId="1" applyNumberFormat="1" applyFont="1" applyBorder="1"/>
    <xf numFmtId="1" fontId="7" fillId="0" borderId="1" xfId="0" applyNumberFormat="1" applyFont="1" applyBorder="1"/>
    <xf numFmtId="167" fontId="7" fillId="0" borderId="1" xfId="0" applyNumberFormat="1" applyFont="1" applyBorder="1"/>
    <xf numFmtId="165" fontId="6" fillId="0" borderId="1" xfId="1" applyNumberFormat="1" applyFont="1" applyBorder="1"/>
    <xf numFmtId="1" fontId="6" fillId="0" borderId="1" xfId="0" applyNumberFormat="1" applyFont="1" applyBorder="1"/>
    <xf numFmtId="167" fontId="6" fillId="0" borderId="1" xfId="0" applyNumberFormat="1" applyFont="1" applyBorder="1"/>
    <xf numFmtId="0" fontId="6" fillId="0" borderId="0" xfId="0" applyFont="1"/>
    <xf numFmtId="0" fontId="9" fillId="0" borderId="0" xfId="0" applyFont="1"/>
    <xf numFmtId="0" fontId="15" fillId="0" borderId="0" xfId="0" applyFont="1"/>
    <xf numFmtId="0" fontId="10" fillId="2" borderId="1" xfId="0" applyFont="1" applyFill="1" applyBorder="1" applyAlignment="1">
      <alignment horizontal="center" vertical="top"/>
    </xf>
    <xf numFmtId="0" fontId="3" fillId="0" borderId="0" xfId="0" applyFont="1"/>
    <xf numFmtId="168" fontId="11" fillId="0" borderId="4" xfId="1" applyNumberFormat="1" applyFont="1" applyBorder="1"/>
    <xf numFmtId="168" fontId="11" fillId="0" borderId="1" xfId="1" applyNumberFormat="1" applyFont="1" applyBorder="1"/>
    <xf numFmtId="168" fontId="0" fillId="0" borderId="1" xfId="1" applyNumberFormat="1" applyFont="1" applyBorder="1"/>
    <xf numFmtId="168" fontId="0" fillId="0" borderId="5" xfId="1" applyNumberFormat="1" applyFont="1" applyBorder="1"/>
    <xf numFmtId="168" fontId="8" fillId="0" borderId="4" xfId="1" applyNumberFormat="1" applyFont="1" applyBorder="1"/>
    <xf numFmtId="168" fontId="11" fillId="0" borderId="5" xfId="1" applyNumberFormat="1" applyFont="1" applyBorder="1"/>
    <xf numFmtId="168" fontId="11" fillId="0" borderId="6" xfId="1" applyNumberFormat="1" applyFont="1" applyBorder="1"/>
    <xf numFmtId="168" fontId="11" fillId="0" borderId="7" xfId="1" applyNumberFormat="1" applyFont="1" applyBorder="1"/>
    <xf numFmtId="168" fontId="11" fillId="0" borderId="8" xfId="1" applyNumberFormat="1" applyFont="1" applyBorder="1"/>
    <xf numFmtId="168" fontId="8" fillId="0" borderId="6" xfId="1" applyNumberFormat="1" applyFont="1" applyBorder="1"/>
    <xf numFmtId="168" fontId="0" fillId="0" borderId="7" xfId="1" applyNumberFormat="1" applyFont="1" applyBorder="1"/>
    <xf numFmtId="169" fontId="0" fillId="0" borderId="0" xfId="1" applyNumberFormat="1" applyFont="1"/>
    <xf numFmtId="169" fontId="11" fillId="0" borderId="0" xfId="1" applyNumberFormat="1" applyFont="1"/>
    <xf numFmtId="164" fontId="3" fillId="0" borderId="1" xfId="1" applyFont="1" applyBorder="1" applyAlignment="1">
      <alignment horizontal="center" vertical="top"/>
    </xf>
    <xf numFmtId="164" fontId="0" fillId="0" borderId="0" xfId="1" applyFont="1"/>
    <xf numFmtId="2" fontId="9" fillId="0" borderId="1" xfId="1" applyNumberFormat="1" applyFont="1" applyBorder="1"/>
    <xf numFmtId="164" fontId="5" fillId="0" borderId="1" xfId="1" applyFont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center"/>
    </xf>
    <xf numFmtId="164" fontId="0" fillId="0" borderId="0" xfId="1" applyFont="1" applyBorder="1"/>
    <xf numFmtId="0" fontId="0" fillId="0" borderId="0" xfId="0" applyAlignment="1">
      <alignment vertical="center"/>
    </xf>
    <xf numFmtId="164" fontId="3" fillId="0" borderId="15" xfId="1" applyFont="1" applyBorder="1" applyAlignment="1">
      <alignment horizontal="center" vertical="top"/>
    </xf>
    <xf numFmtId="164" fontId="3" fillId="0" borderId="0" xfId="1" applyFont="1" applyFill="1" applyBorder="1" applyAlignment="1">
      <alignment horizontal="center" vertical="top"/>
    </xf>
    <xf numFmtId="164" fontId="3" fillId="0" borderId="1" xfId="1" applyFont="1" applyFill="1" applyBorder="1" applyAlignment="1">
      <alignment horizontal="center" vertical="top"/>
    </xf>
    <xf numFmtId="164" fontId="0" fillId="0" borderId="0" xfId="1" applyFont="1" applyFill="1"/>
    <xf numFmtId="0" fontId="4" fillId="0" borderId="0" xfId="2"/>
    <xf numFmtId="164" fontId="9" fillId="0" borderId="1" xfId="1" applyFont="1" applyFill="1" applyBorder="1"/>
    <xf numFmtId="164" fontId="9" fillId="0" borderId="15" xfId="1" applyFont="1" applyBorder="1"/>
    <xf numFmtId="165" fontId="0" fillId="0" borderId="3" xfId="1" applyNumberFormat="1" applyFont="1" applyBorder="1"/>
    <xf numFmtId="0" fontId="17" fillId="0" borderId="0" xfId="0" applyFont="1"/>
    <xf numFmtId="164" fontId="10" fillId="0" borderId="1" xfId="1" applyFont="1" applyBorder="1" applyAlignment="1">
      <alignment horizontal="center" vertical="top"/>
    </xf>
    <xf numFmtId="0" fontId="9" fillId="0" borderId="1" xfId="0" applyFont="1" applyBorder="1"/>
    <xf numFmtId="0" fontId="18" fillId="0" borderId="1" xfId="0" applyFont="1" applyBorder="1" applyAlignment="1">
      <alignment horizontal="left" vertical="center"/>
    </xf>
    <xf numFmtId="164" fontId="9" fillId="0" borderId="0" xfId="1" applyFont="1"/>
    <xf numFmtId="11" fontId="9" fillId="0" borderId="0" xfId="0" applyNumberFormat="1" applyFont="1"/>
    <xf numFmtId="166" fontId="9" fillId="0" borderId="0" xfId="1" applyNumberFormat="1" applyFont="1" applyFill="1"/>
    <xf numFmtId="1" fontId="9" fillId="0" borderId="0" xfId="0" applyNumberFormat="1" applyFont="1"/>
    <xf numFmtId="166" fontId="9" fillId="0" borderId="0" xfId="1" applyNumberFormat="1" applyFont="1"/>
    <xf numFmtId="0" fontId="10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164" fontId="10" fillId="0" borderId="1" xfId="1" applyFont="1" applyFill="1" applyBorder="1" applyAlignment="1">
      <alignment horizontal="center" vertical="top"/>
    </xf>
    <xf numFmtId="164" fontId="9" fillId="0" borderId="0" xfId="1" applyFont="1" applyFill="1"/>
    <xf numFmtId="0" fontId="18" fillId="0" borderId="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/>
    </xf>
    <xf numFmtId="164" fontId="0" fillId="0" borderId="1" xfId="1" applyFont="1" applyBorder="1"/>
    <xf numFmtId="166" fontId="6" fillId="0" borderId="0" xfId="1" applyNumberFormat="1" applyFont="1" applyFill="1"/>
    <xf numFmtId="164" fontId="3" fillId="0" borderId="1" xfId="1" applyFont="1" applyBorder="1"/>
    <xf numFmtId="164" fontId="6" fillId="0" borderId="1" xfId="1" applyFont="1" applyBorder="1"/>
    <xf numFmtId="164" fontId="10" fillId="0" borderId="1" xfId="1" applyFont="1" applyBorder="1"/>
    <xf numFmtId="164" fontId="10" fillId="0" borderId="1" xfId="1" applyFont="1" applyFill="1" applyBorder="1"/>
    <xf numFmtId="0" fontId="3" fillId="0" borderId="0" xfId="0" applyFont="1" applyAlignment="1">
      <alignment horizontal="center" vertical="top"/>
    </xf>
    <xf numFmtId="168" fontId="20" fillId="0" borderId="1" xfId="0" applyNumberFormat="1" applyFont="1" applyBorder="1"/>
    <xf numFmtId="168" fontId="20" fillId="0" borderId="3" xfId="0" applyNumberFormat="1" applyFont="1" applyBorder="1"/>
    <xf numFmtId="168" fontId="20" fillId="3" borderId="3" xfId="0" applyNumberFormat="1" applyFont="1" applyFill="1" applyBorder="1"/>
    <xf numFmtId="168" fontId="21" fillId="0" borderId="1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top"/>
    </xf>
    <xf numFmtId="0" fontId="10" fillId="0" borderId="17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168" fontId="21" fillId="0" borderId="16" xfId="0" applyNumberFormat="1" applyFont="1" applyBorder="1" applyAlignment="1">
      <alignment horizontal="center" vertical="center"/>
    </xf>
    <xf numFmtId="168" fontId="21" fillId="0" borderId="2" xfId="0" applyNumberFormat="1" applyFont="1" applyBorder="1" applyAlignment="1">
      <alignment horizontal="center" vertical="center"/>
    </xf>
    <xf numFmtId="0" fontId="9" fillId="0" borderId="15" xfId="0" applyFont="1" applyBorder="1"/>
    <xf numFmtId="1" fontId="20" fillId="0" borderId="15" xfId="0" applyNumberFormat="1" applyFont="1" applyBorder="1"/>
    <xf numFmtId="1" fontId="20" fillId="0" borderId="17" xfId="0" applyNumberFormat="1" applyFont="1" applyBorder="1"/>
    <xf numFmtId="168" fontId="20" fillId="0" borderId="2" xfId="0" applyNumberFormat="1" applyFont="1" applyBorder="1"/>
    <xf numFmtId="168" fontId="20" fillId="0" borderId="19" xfId="0" applyNumberFormat="1" applyFont="1" applyBorder="1"/>
    <xf numFmtId="168" fontId="20" fillId="4" borderId="3" xfId="0" applyNumberFormat="1" applyFont="1" applyFill="1" applyBorder="1"/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6" fillId="0" borderId="0" xfId="0" applyFont="1" applyFill="1"/>
    <xf numFmtId="0" fontId="9" fillId="0" borderId="0" xfId="0" applyFont="1" applyFill="1"/>
    <xf numFmtId="0" fontId="10" fillId="0" borderId="1" xfId="0" applyFont="1" applyFill="1" applyBorder="1" applyAlignment="1">
      <alignment horizontal="center" vertical="top"/>
    </xf>
    <xf numFmtId="0" fontId="18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/>
    <xf numFmtId="0" fontId="0" fillId="0" borderId="1" xfId="0" applyFill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E149849F-47FA-334D-9FEE-895CFE1476E8}"/>
  </cellStyles>
  <dxfs count="26"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168" formatCode="0.0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8" formatCode="0.0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8" formatCode="0.0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8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8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" formatCode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* #,##0.000_-;\-* #,##0.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2" defaultTableStyle="TableStyleMedium9" defaultPivotStyle="PivotStyleLight16">
    <tableStyle name="Table Style 1" pivot="0" count="1" xr9:uid="{A31500C4-AD22-244D-9963-FE2790F9F847}">
      <tableStyleElement type="firstRowStripe" size="3"/>
    </tableStyle>
    <tableStyle name="Table Style 2" pivot="0" count="2" xr9:uid="{EC2C4F3E-0FAE-1D4E-AD9C-98BBFF6952B6}">
      <tableStyleElement type="firstRowStripe" size="3" dxfId="25"/>
      <tableStyleElement type="secondRowStripe" size="3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107917013960804E-2"/>
                  <c:y val="0.259680913992700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 curve'!$F$2:$F$9</c:f>
              <c:numCache>
                <c:formatCode>0.00</c:formatCode>
                <c:ptCount val="8"/>
                <c:pt idx="0">
                  <c:v>10</c:v>
                </c:pt>
                <c:pt idx="1">
                  <c:v>4</c:v>
                </c:pt>
                <c:pt idx="2">
                  <c:v>1.6</c:v>
                </c:pt>
                <c:pt idx="3">
                  <c:v>0.6</c:v>
                </c:pt>
                <c:pt idx="4">
                  <c:v>0.26</c:v>
                </c:pt>
                <c:pt idx="5">
                  <c:v>0.1</c:v>
                </c:pt>
                <c:pt idx="6">
                  <c:v>0.04</c:v>
                </c:pt>
                <c:pt idx="7">
                  <c:v>0.02</c:v>
                </c:pt>
              </c:numCache>
            </c:numRef>
          </c:xVal>
          <c:yVal>
            <c:numRef>
              <c:f>'Calibration curve'!$C$2:$C$9</c:f>
              <c:numCache>
                <c:formatCode>_-* #,##0_-;\-* #,##0_-;_-* "-"??_-;_-@_-</c:formatCode>
                <c:ptCount val="8"/>
                <c:pt idx="0">
                  <c:v>120320450.77139901</c:v>
                </c:pt>
                <c:pt idx="1">
                  <c:v>50040824.217438102</c:v>
                </c:pt>
                <c:pt idx="2">
                  <c:v>18315503.365277398</c:v>
                </c:pt>
                <c:pt idx="3">
                  <c:v>6485863.4648048496</c:v>
                </c:pt>
                <c:pt idx="4">
                  <c:v>2577287.0212299898</c:v>
                </c:pt>
                <c:pt idx="5">
                  <c:v>1007248.0871183299</c:v>
                </c:pt>
                <c:pt idx="6">
                  <c:v>379917.791217377</c:v>
                </c:pt>
                <c:pt idx="7">
                  <c:v>150780.737295256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B-42A9-8D97-6C8748946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423183"/>
        <c:axId val="1488417423"/>
      </c:scatterChart>
      <c:valAx>
        <c:axId val="148842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17423"/>
        <c:crosses val="autoZero"/>
        <c:crossBetween val="midCat"/>
      </c:valAx>
      <c:valAx>
        <c:axId val="14884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2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</xdr:colOff>
      <xdr:row>1</xdr:row>
      <xdr:rowOff>13335</xdr:rowOff>
    </xdr:from>
    <xdr:to>
      <xdr:col>11</xdr:col>
      <xdr:colOff>601134</xdr:colOff>
      <xdr:row>16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8701A4-0630-4B29-9BD7-2CA267FEC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na Elise Høyland" id="{A25DFE6C-9903-1042-9F8C-1FCA12A72F1B}" userId="Lena.Hoyland@uib.no" providerId="PeoplePicker"/>
  <person displayName="Marcus Dalaker Figenschou" id="{6715A0BE-80A3-A041-BE46-99540BE6FE22}" userId="S::mafig4431@uib.no::3200c40d-71b6-4058-9f1f-5206abd85e0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1AA1A6-C267-464A-8CF3-72738CF0506A}" name="Table2" displayName="Table2" ref="AD2:AM50" totalsRowShown="0" headerRowDxfId="23" dataDxfId="21" headerRowBorderDxfId="22" tableBorderDxfId="20" dataCellStyle="Comma">
  <autoFilter ref="AD2:AM50" xr:uid="{5B1AA1A6-C267-464A-8CF3-72738CF0506A}"/>
  <tableColumns count="10">
    <tableColumn id="1" xr3:uid="{FF66AC08-1087-FB40-B085-7517335B9D50}" name="Filename" dataDxfId="19"/>
    <tableColumn id="2" xr3:uid="{932C9B71-B398-634F-B26C-C7840C8ECEA8}" name="Column1" dataDxfId="18"/>
    <tableColumn id="3" xr3:uid="{8D01677E-852C-D046-9375-E202E0B78C4B}" name="FAD" dataDxfId="17" dataCellStyle="Comma"/>
    <tableColumn id="4" xr3:uid="{9D929636-6662-5640-9CBF-259CE76DDCD0}" name="AceCoA" dataDxfId="16" dataCellStyle="Comma">
      <calculatedColumnFormula>(V3*0.0005*1000) /$AU3</calculatedColumnFormula>
    </tableColumn>
    <tableColumn id="5" xr3:uid="{3F6BDAD2-6E8A-B244-8BF7-540C118B62A3}" name="NAD" dataDxfId="15" dataCellStyle="Comma">
      <calculatedColumnFormula>(W3*0.0005*1000) /$AU3</calculatedColumnFormula>
    </tableColumn>
    <tableColumn id="6" xr3:uid="{88A4DD8F-F284-AE4D-8584-8EC5169840BC}" name="CoA" dataDxfId="14" dataCellStyle="Comma">
      <calculatedColumnFormula>(X3*0.0005*1000) /$AU3</calculatedColumnFormula>
    </tableColumn>
    <tableColumn id="7" xr3:uid="{3DB716A7-5AEC-5346-858F-8B6FD11641D3}" name="ADP" dataDxfId="13" dataCellStyle="Comma">
      <calculatedColumnFormula>(Y3*0.0005*1000) /$AU3</calculatedColumnFormula>
    </tableColumn>
    <tableColumn id="8" xr3:uid="{A33E3846-6BCE-3042-BAF2-2AE250A14467}" name="ATP" dataDxfId="12" dataCellStyle="Comma">
      <calculatedColumnFormula>(Z3*0.0005*1000) /$AU3</calculatedColumnFormula>
    </tableColumn>
    <tableColumn id="9" xr3:uid="{31A25A29-1794-904F-A469-05CD82095B97}" name="SAM" dataDxfId="11" dataCellStyle="Comma">
      <calculatedColumnFormula>(AA3*0.0005*1000) /$AU3</calculatedColumnFormula>
    </tableColumn>
    <tableColumn id="10" xr3:uid="{97DE1AE6-C1D9-D14A-9E96-9F1F2F9B3B5A}" name="ADPR" dataDxfId="10" dataCellStyle="Comma">
      <calculatedColumnFormula>(AB3*0.0005*1000) /$AU3</calculatedColumn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8F9026-049C-8A48-8A6F-8AC29633AF7C}" name="Table3" displayName="Table3" ref="AP2:AU26" totalsRowShown="0" headerRowDxfId="9" tableBorderDxfId="8">
  <autoFilter ref="AP2:AU26" xr:uid="{008F9026-049C-8A48-8A6F-8AC29633AF7C}"/>
  <tableColumns count="6">
    <tableColumn id="1" xr3:uid="{26E110FB-7744-3946-9134-4767301C2A4C}" name="Sample ID" dataDxfId="7"/>
    <tableColumn id="2" xr3:uid="{C1C1E856-9ABC-CE48-AB70-A04B36505E5E}" name="Mean Protein samples" dataDxfId="6"/>
    <tableColumn id="3" xr3:uid="{106EB371-7BFE-064D-ADB6-54DCEC2D4CC7}" name="Mean without lysis" dataDxfId="5"/>
    <tableColumn id="4" xr3:uid="{71359999-3770-A649-8849-62D8A1F34733}" name="Protein Concentration" dataDxfId="4"/>
    <tableColumn id="5" xr3:uid="{B0031F5C-09F8-C046-99D9-5BBF278EE53A}" name="Total protein mg" dataDxfId="3"/>
    <tableColumn id="6" xr3:uid="{C65F7105-76F7-F541-95B2-EACD7AD33434}" name="Avg total protein (mg)" dataDxfId="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0" dT="2025-11-14T10:10:09.35" personId="{6715A0BE-80A3-A041-BE46-99540BE6FE22}" id="{2B1D09D9-358C-6F4E-916C-BE0E5A5ED2C8}">
    <text>@Lena Elise Høyland
her er verdiene konsistent høye, men de varierer, som G1_P8 er høyere enn G1_P4-G1_P7, samme ser jeg også i B3 kolonnen</text>
    <mentions>
      <mention mentionpersonId="{A25DFE6C-9903-1042-9F8C-1FCA12A72F1B}" mentionId="{312FBA9F-64AE-9F43-AF97-486A648B22F2}" startIndex="0" length="19"/>
    </mentions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A2A6-1988-4128-B83D-B7360C44CC8D}">
  <dimension ref="A1:T74"/>
  <sheetViews>
    <sheetView topLeftCell="A17" zoomScale="85" zoomScaleNormal="115" workbookViewId="0">
      <selection activeCell="N5" sqref="N5"/>
    </sheetView>
  </sheetViews>
  <sheetFormatPr baseColWidth="10" defaultColWidth="8.83203125" defaultRowHeight="15" x14ac:dyDescent="0.2"/>
  <cols>
    <col min="2" max="11" width="9" bestFit="1" customWidth="1"/>
    <col min="12" max="12" width="21.1640625" bestFit="1" customWidth="1"/>
    <col min="13" max="13" width="15.33203125" bestFit="1" customWidth="1"/>
    <col min="14" max="14" width="13.6640625" bestFit="1" customWidth="1"/>
    <col min="15" max="15" width="12.6640625" bestFit="1" customWidth="1"/>
    <col min="16" max="17" width="11.6640625" bestFit="1" customWidth="1"/>
  </cols>
  <sheetData>
    <row r="1" spans="1:20" ht="20" thickBot="1" x14ac:dyDescent="0.3">
      <c r="B1" s="108" t="s">
        <v>0</v>
      </c>
      <c r="C1" s="109"/>
      <c r="D1" s="109"/>
      <c r="E1" s="109"/>
      <c r="F1" s="109"/>
      <c r="G1" s="109"/>
      <c r="H1" s="109"/>
      <c r="I1" s="109"/>
      <c r="J1" s="109"/>
      <c r="K1" s="110"/>
      <c r="L1" s="111" t="s">
        <v>1</v>
      </c>
      <c r="M1" s="112"/>
      <c r="N1" s="112"/>
      <c r="O1" s="112"/>
      <c r="P1" s="112"/>
      <c r="Q1" s="113"/>
    </row>
    <row r="2" spans="1:20" x14ac:dyDescent="0.2">
      <c r="A2" s="18" t="s">
        <v>2</v>
      </c>
      <c r="B2" s="19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9</v>
      </c>
      <c r="I2" s="20" t="s">
        <v>10</v>
      </c>
      <c r="J2" s="20" t="s">
        <v>11</v>
      </c>
      <c r="K2" s="21" t="s">
        <v>12</v>
      </c>
      <c r="L2" s="19" t="s">
        <v>13</v>
      </c>
      <c r="M2" s="20" t="s">
        <v>14</v>
      </c>
      <c r="N2" s="20" t="s">
        <v>15</v>
      </c>
      <c r="O2" s="20" t="s">
        <v>16</v>
      </c>
      <c r="P2" s="20" t="s">
        <v>17</v>
      </c>
      <c r="Q2" s="21" t="s">
        <v>18</v>
      </c>
    </row>
    <row r="3" spans="1:20" x14ac:dyDescent="0.2">
      <c r="A3" s="18" t="s">
        <v>19</v>
      </c>
      <c r="B3" s="39" t="e">
        <f>'uM (final) '!#REF!</f>
        <v>#REF!</v>
      </c>
      <c r="C3" s="40">
        <f>'uM (final) '!U3</f>
        <v>5.8751327758635931E-2</v>
      </c>
      <c r="D3" s="40" t="e">
        <f>'uM (final) '!#REF!</f>
        <v>#REF!</v>
      </c>
      <c r="E3" s="40">
        <f>'uM (final) '!V3</f>
        <v>6.0636208304453203E-2</v>
      </c>
      <c r="F3" s="41" t="e">
        <f>'uM (final) '!#REF!</f>
        <v>#REF!</v>
      </c>
      <c r="G3" s="41">
        <f>'uM (final) '!W3</f>
        <v>0.48718037084133198</v>
      </c>
      <c r="H3" s="40">
        <f>'uM (final) '!X3</f>
        <v>0</v>
      </c>
      <c r="I3" s="41">
        <f>'uM (final) '!Y3</f>
        <v>0.61557964366400242</v>
      </c>
      <c r="J3" s="41">
        <f>'uM (final) '!Z3</f>
        <v>3.7292259394074447</v>
      </c>
      <c r="K3" s="42">
        <f>'uM (final) '!AA3</f>
        <v>0.18284120061883646</v>
      </c>
      <c r="L3" s="43">
        <v>16659758.735301999</v>
      </c>
      <c r="M3" s="41">
        <v>636057.01956492802</v>
      </c>
      <c r="N3" s="40">
        <v>0</v>
      </c>
      <c r="O3" s="40">
        <v>21191.2924556324</v>
      </c>
      <c r="P3" s="40">
        <v>23755.616400250899</v>
      </c>
      <c r="Q3" s="42">
        <v>0</v>
      </c>
      <c r="S3" s="22" t="s">
        <v>20</v>
      </c>
      <c r="T3" s="22"/>
    </row>
    <row r="4" spans="1:20" x14ac:dyDescent="0.2">
      <c r="A4" s="18" t="s">
        <v>21</v>
      </c>
      <c r="B4" s="39" t="e">
        <f>'uM (final) '!#REF!</f>
        <v>#REF!</v>
      </c>
      <c r="C4" s="40">
        <f>'uM (final) '!U4</f>
        <v>5.8447733113625791E-2</v>
      </c>
      <c r="D4" s="40" t="e">
        <f>'uM (final) '!#REF!</f>
        <v>#REF!</v>
      </c>
      <c r="E4" s="40">
        <f>'uM (final) '!V4</f>
        <v>6.082523584170841E-2</v>
      </c>
      <c r="F4" s="41" t="e">
        <f>'uM (final) '!#REF!</f>
        <v>#REF!</v>
      </c>
      <c r="G4" s="41">
        <f>'uM (final) '!W4</f>
        <v>0.46674622809775473</v>
      </c>
      <c r="H4" s="40">
        <f>'uM (final) '!X4</f>
        <v>0</v>
      </c>
      <c r="I4" s="41">
        <f>'uM (final) '!Y4</f>
        <v>0.66103656212728767</v>
      </c>
      <c r="J4" s="41">
        <f>'uM (final) '!Z4</f>
        <v>3.421930063575243</v>
      </c>
      <c r="K4" s="42">
        <f>'uM (final) '!AA4</f>
        <v>0.19068497739453119</v>
      </c>
      <c r="L4" s="43">
        <v>17523720.450759701</v>
      </c>
      <c r="M4" s="41">
        <v>811243.27948515804</v>
      </c>
      <c r="N4" s="40">
        <v>0</v>
      </c>
      <c r="O4" s="40">
        <v>61930.217728860902</v>
      </c>
      <c r="P4" s="40">
        <v>22262.8852079594</v>
      </c>
      <c r="Q4" s="42">
        <v>0</v>
      </c>
      <c r="S4" s="23" t="s">
        <v>22</v>
      </c>
      <c r="T4" s="23"/>
    </row>
    <row r="5" spans="1:20" x14ac:dyDescent="0.2">
      <c r="A5" s="18" t="s">
        <v>23</v>
      </c>
      <c r="B5" s="39" t="e">
        <f>'uM (final) '!#REF!</f>
        <v>#REF!</v>
      </c>
      <c r="C5" s="40">
        <f>'uM (final) '!U5</f>
        <v>5.9098164967010078E-2</v>
      </c>
      <c r="D5" s="40" t="e">
        <f>'uM (final) '!#REF!</f>
        <v>#REF!</v>
      </c>
      <c r="E5" s="40">
        <f>'uM (final) '!V5</f>
        <v>6.1044726528596167E-2</v>
      </c>
      <c r="F5" s="41" t="e">
        <f>'uM (final) '!#REF!</f>
        <v>#REF!</v>
      </c>
      <c r="G5" s="41">
        <f>'uM (final) '!W5</f>
        <v>0.50157590902341986</v>
      </c>
      <c r="H5" s="40">
        <f>'uM (final) '!X5</f>
        <v>0</v>
      </c>
      <c r="I5" s="41">
        <f>'uM (final) '!Y5</f>
        <v>0.78752517209701056</v>
      </c>
      <c r="J5" s="41">
        <f>'uM (final) '!Z5</f>
        <v>2.9654644589798114</v>
      </c>
      <c r="K5" s="42">
        <f>'uM (final) '!AA5</f>
        <v>0.17973164022602067</v>
      </c>
      <c r="L5" s="43">
        <v>19277569.710596301</v>
      </c>
      <c r="M5" s="41">
        <v>1004545.23311107</v>
      </c>
      <c r="N5" s="40">
        <v>4414.9022424367804</v>
      </c>
      <c r="O5" s="40">
        <v>49737.387251143897</v>
      </c>
      <c r="P5" s="40">
        <v>27383.156243373</v>
      </c>
      <c r="Q5" s="44">
        <v>996.56108532212795</v>
      </c>
    </row>
    <row r="6" spans="1:20" x14ac:dyDescent="0.2">
      <c r="A6" s="18" t="s">
        <v>24</v>
      </c>
      <c r="B6" s="39" t="e">
        <f>'uM (final) '!#REF!</f>
        <v>#REF!</v>
      </c>
      <c r="C6" s="40">
        <f>'uM (final) '!U6</f>
        <v>5.7516999359276601E-2</v>
      </c>
      <c r="D6" s="40" t="e">
        <f>'uM (final) '!#REF!</f>
        <v>#REF!</v>
      </c>
      <c r="E6" s="40">
        <f>'uM (final) '!V6</f>
        <v>6.1710436880035323E-2</v>
      </c>
      <c r="F6" s="41" t="e">
        <f>'uM (final) '!#REF!</f>
        <v>#REF!</v>
      </c>
      <c r="G6" s="41">
        <f>'uM (final) '!W6</f>
        <v>0.23023276535651485</v>
      </c>
      <c r="H6" s="40">
        <f>'uM (final) '!X6</f>
        <v>0</v>
      </c>
      <c r="I6" s="41">
        <f>'uM (final) '!Y6</f>
        <v>0.96654071389306129</v>
      </c>
      <c r="J6" s="41">
        <f>'uM (final) '!Z6</f>
        <v>2.0389321998393157</v>
      </c>
      <c r="K6" s="42">
        <f>'uM (final) '!AA6</f>
        <v>0.17655403577171952</v>
      </c>
      <c r="L6" s="43">
        <v>3598273.1357065099</v>
      </c>
      <c r="M6" s="41">
        <v>206003.080326091</v>
      </c>
      <c r="N6" s="40">
        <v>0</v>
      </c>
      <c r="O6" s="41">
        <v>298466.29866565298</v>
      </c>
      <c r="P6" s="40">
        <v>21601.384846709901</v>
      </c>
      <c r="Q6" s="44">
        <v>23887.5770705916</v>
      </c>
    </row>
    <row r="7" spans="1:20" x14ac:dyDescent="0.2">
      <c r="A7" s="18" t="s">
        <v>25</v>
      </c>
      <c r="B7" s="39" t="e">
        <f>'uM (final) '!#REF!</f>
        <v>#REF!</v>
      </c>
      <c r="C7" s="40">
        <f>'uM (final) '!U7</f>
        <v>5.8071490401840169E-2</v>
      </c>
      <c r="D7" s="40" t="e">
        <f>'uM (final) '!#REF!</f>
        <v>#REF!</v>
      </c>
      <c r="E7" s="40">
        <f>'uM (final) '!V7</f>
        <v>6.4868696903588402E-2</v>
      </c>
      <c r="F7" s="41" t="e">
        <f>'uM (final) '!#REF!</f>
        <v>#REF!</v>
      </c>
      <c r="G7" s="41">
        <f>'uM (final) '!W7</f>
        <v>0.31818358270437219</v>
      </c>
      <c r="H7" s="40">
        <f>'uM (final) '!X7</f>
        <v>0</v>
      </c>
      <c r="I7" s="41">
        <f>'uM (final) '!Y7</f>
        <v>1.2736238635786277</v>
      </c>
      <c r="J7" s="41">
        <f>'uM (final) '!Z7</f>
        <v>2.6237022412874009</v>
      </c>
      <c r="K7" s="42">
        <f>'uM (final) '!AA7</f>
        <v>0.21157078392818957</v>
      </c>
      <c r="L7" s="43">
        <v>3776005.5816416899</v>
      </c>
      <c r="M7" s="41">
        <v>270496.591986474</v>
      </c>
      <c r="N7" s="40">
        <v>0</v>
      </c>
      <c r="O7" s="41">
        <v>332746.76663775998</v>
      </c>
      <c r="P7" s="40">
        <v>41957.672098370997</v>
      </c>
      <c r="Q7" s="44">
        <v>37318.400479123797</v>
      </c>
    </row>
    <row r="8" spans="1:20" x14ac:dyDescent="0.2">
      <c r="A8" s="18" t="s">
        <v>26</v>
      </c>
      <c r="B8" s="39" t="e">
        <f>'uM (final) '!#REF!</f>
        <v>#REF!</v>
      </c>
      <c r="C8" s="40">
        <f>'uM (final) '!U8</f>
        <v>5.702010956852676E-2</v>
      </c>
      <c r="D8" s="40" t="e">
        <f>'uM (final) '!#REF!</f>
        <v>#REF!</v>
      </c>
      <c r="E8" s="40">
        <f>'uM (final) '!V8</f>
        <v>6.1671489025180153E-2</v>
      </c>
      <c r="F8" s="41" t="e">
        <f>'uM (final) '!#REF!</f>
        <v>#REF!</v>
      </c>
      <c r="G8" s="41">
        <f>'uM (final) '!W8</f>
        <v>0.25161539352851331</v>
      </c>
      <c r="H8" s="40">
        <f>'uM (final) '!X8</f>
        <v>0</v>
      </c>
      <c r="I8" s="41">
        <f>'uM (final) '!Y8</f>
        <v>1.0982071248650502</v>
      </c>
      <c r="J8" s="41">
        <f>'uM (final) '!Z8</f>
        <v>1.7504292088672768</v>
      </c>
      <c r="K8" s="42">
        <f>'uM (final) '!AA8</f>
        <v>0.20291270201682565</v>
      </c>
      <c r="L8" s="43">
        <v>3316158.3224190702</v>
      </c>
      <c r="M8" s="41">
        <v>242142.73979003099</v>
      </c>
      <c r="N8" s="40">
        <v>0</v>
      </c>
      <c r="O8" s="41">
        <v>354257.62005997199</v>
      </c>
      <c r="P8" s="40">
        <v>22038.203745849401</v>
      </c>
      <c r="Q8" s="44">
        <v>63092.456013274001</v>
      </c>
    </row>
    <row r="9" spans="1:20" x14ac:dyDescent="0.2">
      <c r="A9" s="18">
        <v>7</v>
      </c>
      <c r="B9" s="39" t="e">
        <f>'uM (final) '!#REF!</f>
        <v>#REF!</v>
      </c>
      <c r="C9" s="40">
        <f>'uM (final) '!U9</f>
        <v>5.8867698069492401E-2</v>
      </c>
      <c r="D9" s="40" t="e">
        <f>'uM (final) '!#REF!</f>
        <v>#REF!</v>
      </c>
      <c r="E9" s="40">
        <f>'uM (final) '!V9</f>
        <v>6.1499654684291256E-2</v>
      </c>
      <c r="F9" s="41" t="e">
        <f>'uM (final) '!#REF!</f>
        <v>#REF!</v>
      </c>
      <c r="G9" s="41">
        <f>'uM (final) '!W9</f>
        <v>0.28718467769462336</v>
      </c>
      <c r="H9" s="40">
        <f>'uM (final) '!X9</f>
        <v>0</v>
      </c>
      <c r="I9" s="41">
        <f>'uM (final) '!Y9</f>
        <v>0.45932807591514652</v>
      </c>
      <c r="J9" s="41">
        <f>'uM (final) '!Z9</f>
        <v>4.129289613464846</v>
      </c>
      <c r="K9" s="42">
        <f>'uM (final) '!AA9</f>
        <v>0.22043841443006526</v>
      </c>
      <c r="L9" s="43">
        <v>18287000.602993499</v>
      </c>
      <c r="M9" s="41">
        <v>217237.08891863</v>
      </c>
      <c r="N9" s="40">
        <v>0</v>
      </c>
      <c r="O9" s="41">
        <v>384514.18198906101</v>
      </c>
      <c r="P9" s="40">
        <v>26231.474959653999</v>
      </c>
      <c r="Q9" s="44">
        <v>64267.632064116398</v>
      </c>
    </row>
    <row r="10" spans="1:20" x14ac:dyDescent="0.2">
      <c r="A10" s="18" t="s">
        <v>27</v>
      </c>
      <c r="B10" s="39" t="e">
        <f>'uM (final) '!#REF!</f>
        <v>#REF!</v>
      </c>
      <c r="C10" s="40">
        <f>'uM (final) '!U10</f>
        <v>5.921692041254821E-2</v>
      </c>
      <c r="D10" s="40" t="e">
        <f>'uM (final) '!#REF!</f>
        <v>#REF!</v>
      </c>
      <c r="E10" s="40">
        <f>'uM (final) '!V10</f>
        <v>6.1742562639388564E-2</v>
      </c>
      <c r="F10" s="41" t="e">
        <f>'uM (final) '!#REF!</f>
        <v>#REF!</v>
      </c>
      <c r="G10" s="41">
        <f>'uM (final) '!W10</f>
        <v>0.30003781980652089</v>
      </c>
      <c r="H10" s="40">
        <f>'uM (final) '!X10</f>
        <v>0</v>
      </c>
      <c r="I10" s="41">
        <f>'uM (final) '!Y10</f>
        <v>0.48383551330416663</v>
      </c>
      <c r="J10" s="41">
        <f>'uM (final) '!Z10</f>
        <v>4.191790851218558</v>
      </c>
      <c r="K10" s="42">
        <f>'uM (final) '!AA10</f>
        <v>0.21569566898982626</v>
      </c>
      <c r="L10" s="43">
        <v>21173956.474948701</v>
      </c>
      <c r="M10" s="41">
        <v>463399.36175676598</v>
      </c>
      <c r="N10" s="40">
        <v>0</v>
      </c>
      <c r="O10" s="41">
        <v>404488.47915534797</v>
      </c>
      <c r="P10" s="40">
        <v>29220.541392913499</v>
      </c>
      <c r="Q10" s="44">
        <v>73870.497734713499</v>
      </c>
    </row>
    <row r="11" spans="1:20" x14ac:dyDescent="0.2">
      <c r="A11" s="18" t="s">
        <v>28</v>
      </c>
      <c r="B11" s="39" t="e">
        <f>'uM (final) '!#REF!</f>
        <v>#REF!</v>
      </c>
      <c r="C11" s="40">
        <f>'uM (final) '!U11</f>
        <v>5.9043905032275169E-2</v>
      </c>
      <c r="D11" s="40" t="e">
        <f>'uM (final) '!#REF!</f>
        <v>#REF!</v>
      </c>
      <c r="E11" s="40">
        <f>'uM (final) '!V11</f>
        <v>6.1438173192677574E-2</v>
      </c>
      <c r="F11" s="41" t="e">
        <f>'uM (final) '!#REF!</f>
        <v>#REF!</v>
      </c>
      <c r="G11" s="41">
        <f>'uM (final) '!W11</f>
        <v>0.30868861681222959</v>
      </c>
      <c r="H11" s="40">
        <f>'uM (final) '!X11</f>
        <v>0</v>
      </c>
      <c r="I11" s="41">
        <f>'uM (final) '!Y11</f>
        <v>0.50191971588394224</v>
      </c>
      <c r="J11" s="41">
        <f>'uM (final) '!Z11</f>
        <v>4.5225305143435293</v>
      </c>
      <c r="K11" s="42">
        <f>'uM (final) '!AA11</f>
        <v>0.22000150014490205</v>
      </c>
      <c r="L11" s="43">
        <v>21001154.8572088</v>
      </c>
      <c r="M11" s="41">
        <v>234769.040483355</v>
      </c>
      <c r="N11" s="40">
        <v>2724.1155670243702</v>
      </c>
      <c r="O11" s="41">
        <v>475996.19004546799</v>
      </c>
      <c r="P11" s="40">
        <v>35690.198835699499</v>
      </c>
      <c r="Q11" s="44">
        <v>76761.256275462598</v>
      </c>
    </row>
    <row r="12" spans="1:20" x14ac:dyDescent="0.2">
      <c r="A12" s="18" t="s">
        <v>29</v>
      </c>
      <c r="B12" s="39" t="e">
        <f>'uM (final) '!#REF!</f>
        <v>#REF!</v>
      </c>
      <c r="C12" s="40">
        <f>'uM (final) '!U12</f>
        <v>5.8616990192205808E-2</v>
      </c>
      <c r="D12" s="40" t="e">
        <f>'uM (final) '!#REF!</f>
        <v>#REF!</v>
      </c>
      <c r="E12" s="40">
        <f>'uM (final) '!V12</f>
        <v>6.0496627744924057E-2</v>
      </c>
      <c r="F12" s="41" t="e">
        <f>'uM (final) '!#REF!</f>
        <v>#REF!</v>
      </c>
      <c r="G12" s="41">
        <f>'uM (final) '!W12</f>
        <v>0.5366184188127644</v>
      </c>
      <c r="H12" s="40">
        <f>'uM (final) '!X12</f>
        <v>0</v>
      </c>
      <c r="I12" s="41">
        <f>'uM (final) '!Y12</f>
        <v>0.48746545854609186</v>
      </c>
      <c r="J12" s="41">
        <f>'uM (final) '!Z12</f>
        <v>3.7316753458442626</v>
      </c>
      <c r="K12" s="42">
        <f>'uM (final) '!AA12</f>
        <v>0.23197489810184194</v>
      </c>
      <c r="L12" s="43">
        <v>17325204.200404901</v>
      </c>
      <c r="M12" s="41">
        <v>2324404.17873216</v>
      </c>
      <c r="N12" s="40">
        <v>849349.89084762905</v>
      </c>
      <c r="O12" s="41">
        <v>421272.27548817999</v>
      </c>
      <c r="P12" s="40">
        <v>44360.137893688101</v>
      </c>
      <c r="Q12" s="44">
        <v>77829.453413853698</v>
      </c>
    </row>
    <row r="13" spans="1:20" x14ac:dyDescent="0.2">
      <c r="A13" s="18" t="s">
        <v>30</v>
      </c>
      <c r="B13" s="39" t="e">
        <f>'uM (final) '!#REF!</f>
        <v>#REF!</v>
      </c>
      <c r="C13" s="40">
        <f>'uM (final) '!U13</f>
        <v>5.8592608647052465E-2</v>
      </c>
      <c r="D13" s="40" t="e">
        <f>'uM (final) '!#REF!</f>
        <v>#REF!</v>
      </c>
      <c r="E13" s="40">
        <f>'uM (final) '!V13</f>
        <v>6.1290031784905052E-2</v>
      </c>
      <c r="F13" s="41" t="e">
        <f>'uM (final) '!#REF!</f>
        <v>#REF!</v>
      </c>
      <c r="G13" s="41">
        <f>'uM (final) '!W13</f>
        <v>0.47831244967373576</v>
      </c>
      <c r="H13" s="40">
        <f>'uM (final) '!X13</f>
        <v>0</v>
      </c>
      <c r="I13" s="41">
        <f>'uM (final) '!Y13</f>
        <v>0.43384933751047589</v>
      </c>
      <c r="J13" s="41">
        <f>'uM (final) '!Z13</f>
        <v>3.4989120699066776</v>
      </c>
      <c r="K13" s="42">
        <f>'uM (final) '!AA13</f>
        <v>0.21039833615466869</v>
      </c>
      <c r="L13" s="43">
        <v>14609645.334540199</v>
      </c>
      <c r="M13" s="41">
        <v>1796839.59855738</v>
      </c>
      <c r="N13" s="40">
        <v>554884.184864018</v>
      </c>
      <c r="O13" s="41">
        <v>411788.01256088301</v>
      </c>
      <c r="P13" s="40">
        <v>35585.0179803723</v>
      </c>
      <c r="Q13" s="44">
        <v>35041.706860456899</v>
      </c>
    </row>
    <row r="14" spans="1:20" x14ac:dyDescent="0.2">
      <c r="A14" s="18" t="s">
        <v>31</v>
      </c>
      <c r="B14" s="39" t="e">
        <f>'uM (final) '!#REF!</f>
        <v>#REF!</v>
      </c>
      <c r="C14" s="40">
        <f>'uM (final) '!U14</f>
        <v>5.8478334019165946E-2</v>
      </c>
      <c r="D14" s="40" t="e">
        <f>'uM (final) '!#REF!</f>
        <v>#REF!</v>
      </c>
      <c r="E14" s="40">
        <f>'uM (final) '!V14</f>
        <v>6.2429307380709953E-2</v>
      </c>
      <c r="F14" s="41" t="e">
        <f>'uM (final) '!#REF!</f>
        <v>#REF!</v>
      </c>
      <c r="G14" s="41">
        <f>'uM (final) '!W14</f>
        <v>0.54218409536309664</v>
      </c>
      <c r="H14" s="40">
        <f>'uM (final) '!X14</f>
        <v>0</v>
      </c>
      <c r="I14" s="41">
        <f>'uM (final) '!Y14</f>
        <v>0.46110290979379992</v>
      </c>
      <c r="J14" s="41">
        <f>'uM (final) '!Z14</f>
        <v>3.6669631887044254</v>
      </c>
      <c r="K14" s="42">
        <f>'uM (final) '!AA14</f>
        <v>0.22274872067105664</v>
      </c>
      <c r="L14" s="43">
        <v>15307385.2555678</v>
      </c>
      <c r="M14" s="41">
        <v>4887364.0613547098</v>
      </c>
      <c r="N14" s="40">
        <v>1172735.17070509</v>
      </c>
      <c r="O14" s="41">
        <v>521911.84080315998</v>
      </c>
      <c r="P14" s="40">
        <v>35225.383442347797</v>
      </c>
      <c r="Q14" s="44">
        <v>85725.867056018295</v>
      </c>
    </row>
    <row r="15" spans="1:20" x14ac:dyDescent="0.2">
      <c r="A15" s="18" t="s">
        <v>32</v>
      </c>
      <c r="B15" s="39" t="e">
        <f>'uM (final) '!#REF!</f>
        <v>#REF!</v>
      </c>
      <c r="C15" s="40">
        <f>'uM (final) '!U15</f>
        <v>6.5726919974007342E-2</v>
      </c>
      <c r="D15" s="40" t="e">
        <f>'uM (final) '!#REF!</f>
        <v>#REF!</v>
      </c>
      <c r="E15" s="41">
        <f>'uM (final) '!V15</f>
        <v>7.1050476464060597E-2</v>
      </c>
      <c r="F15" s="40" t="e">
        <f>'uM (final) '!#REF!</f>
        <v>#REF!</v>
      </c>
      <c r="G15" s="41">
        <f>'uM (final) '!W15</f>
        <v>1.4517581922615026</v>
      </c>
      <c r="H15" s="40">
        <f>'uM (final) '!X15</f>
        <v>0.9311587956158518</v>
      </c>
      <c r="I15" s="41">
        <f>'uM (final) '!Y15</f>
        <v>1.2967314982203635</v>
      </c>
      <c r="J15" s="41">
        <f>'uM (final) '!Z15</f>
        <v>13.219033292258542</v>
      </c>
      <c r="K15" s="42">
        <f>'uM (final) '!AA15</f>
        <v>0.4125534065371691</v>
      </c>
      <c r="L15" s="43">
        <v>43410614.610494502</v>
      </c>
      <c r="M15" s="41">
        <v>9986497.9161546007</v>
      </c>
      <c r="N15" s="40">
        <v>3829.1186441058999</v>
      </c>
      <c r="O15" s="41">
        <v>2640435.76257081</v>
      </c>
      <c r="P15" s="41">
        <v>173492.80172483399</v>
      </c>
      <c r="Q15" s="44">
        <v>271290.83418188</v>
      </c>
    </row>
    <row r="16" spans="1:20" x14ac:dyDescent="0.2">
      <c r="A16" s="18" t="s">
        <v>33</v>
      </c>
      <c r="B16" s="39" t="e">
        <f>'uM (final) '!#REF!</f>
        <v>#REF!</v>
      </c>
      <c r="C16" s="40">
        <f>'uM (final) '!U16</f>
        <v>6.4452918898159975E-2</v>
      </c>
      <c r="D16" s="40" t="e">
        <f>'uM (final) '!#REF!</f>
        <v>#REF!</v>
      </c>
      <c r="E16" s="41">
        <f>'uM (final) '!V16</f>
        <v>7.0643212566135385E-2</v>
      </c>
      <c r="F16" s="41" t="e">
        <f>'uM (final) '!#REF!</f>
        <v>#REF!</v>
      </c>
      <c r="G16" s="41">
        <f>'uM (final) '!W16</f>
        <v>1.2524655954126545</v>
      </c>
      <c r="H16" s="40">
        <f>'uM (final) '!X16</f>
        <v>0.94074132435436553</v>
      </c>
      <c r="I16" s="41">
        <f>'uM (final) '!Y16</f>
        <v>1.1671313066468829</v>
      </c>
      <c r="J16" s="41">
        <f>'uM (final) '!Z16</f>
        <v>10.871245900414106</v>
      </c>
      <c r="K16" s="42">
        <f>'uM (final) '!AA16</f>
        <v>0.33484004978199189</v>
      </c>
      <c r="L16" s="43">
        <v>31649420.743160401</v>
      </c>
      <c r="M16" s="41">
        <v>2822613.3564782501</v>
      </c>
      <c r="N16" s="40">
        <v>0</v>
      </c>
      <c r="O16" s="41">
        <v>2435981.0413013399</v>
      </c>
      <c r="P16" s="40">
        <v>126165.167293208</v>
      </c>
      <c r="Q16" s="44">
        <v>240176.909741624</v>
      </c>
    </row>
    <row r="17" spans="1:17" x14ac:dyDescent="0.2">
      <c r="A17" s="18" t="s">
        <v>34</v>
      </c>
      <c r="B17" s="39" t="e">
        <f>'uM (final) '!#REF!</f>
        <v>#REF!</v>
      </c>
      <c r="C17" s="40">
        <f>'uM (final) '!U17</f>
        <v>6.6418387099942786E-2</v>
      </c>
      <c r="D17" s="40" t="e">
        <f>'uM (final) '!#REF!</f>
        <v>#REF!</v>
      </c>
      <c r="E17" s="41">
        <f>'uM (final) '!V17</f>
        <v>7.5484569447784242E-2</v>
      </c>
      <c r="F17" s="41" t="e">
        <f>'uM (final) '!#REF!</f>
        <v>#REF!</v>
      </c>
      <c r="G17" s="41">
        <f>'uM (final) '!W17</f>
        <v>1.5284962343227386</v>
      </c>
      <c r="H17" s="40">
        <f>'uM (final) '!X17</f>
        <v>0.96501270501133041</v>
      </c>
      <c r="I17" s="41">
        <f>'uM (final) '!Y17</f>
        <v>1.3399376337126496</v>
      </c>
      <c r="J17" s="41">
        <f>'uM (final) '!Z17</f>
        <v>13.057105958711498</v>
      </c>
      <c r="K17" s="42">
        <f>'uM (final) '!AA17</f>
        <v>0.37869883172512403</v>
      </c>
      <c r="L17" s="43">
        <v>42177786.857582599</v>
      </c>
      <c r="M17" s="41">
        <v>3357726.9619083102</v>
      </c>
      <c r="N17" s="40">
        <v>0</v>
      </c>
      <c r="O17" s="41">
        <v>2304910.4912481802</v>
      </c>
      <c r="P17" s="41">
        <v>215242.39661772299</v>
      </c>
      <c r="Q17" s="44">
        <v>259692.89111643701</v>
      </c>
    </row>
    <row r="18" spans="1:17" x14ac:dyDescent="0.2">
      <c r="A18" s="18" t="s">
        <v>35</v>
      </c>
      <c r="B18" s="39" t="e">
        <f>'uM (final) '!#REF!</f>
        <v>#REF!</v>
      </c>
      <c r="C18" s="40">
        <f>'uM (final) '!U18</f>
        <v>5.8157978436640369E-2</v>
      </c>
      <c r="D18" s="40" t="e">
        <f>'uM (final) '!#REF!</f>
        <v>#REF!</v>
      </c>
      <c r="E18" s="40">
        <f>'uM (final) '!V18</f>
        <v>7.9158806067270521E-2</v>
      </c>
      <c r="F18" s="41" t="e">
        <f>'uM (final) '!#REF!</f>
        <v>#REF!</v>
      </c>
      <c r="G18" s="41">
        <f>'uM (final) '!W18</f>
        <v>0.23128557672588357</v>
      </c>
      <c r="H18" s="40">
        <f>'uM (final) '!X18</f>
        <v>0.92069000746268481</v>
      </c>
      <c r="I18" s="41">
        <f>'uM (final) '!Y18</f>
        <v>3.1006128452623214</v>
      </c>
      <c r="J18" s="41">
        <f>'uM (final) '!Z18</f>
        <v>3.7006378927664696</v>
      </c>
      <c r="K18" s="42">
        <f>'uM (final) '!AA18</f>
        <v>0.42398647414405294</v>
      </c>
      <c r="L18" s="43">
        <v>2895570.0802316801</v>
      </c>
      <c r="M18" s="41">
        <v>301277.846103421</v>
      </c>
      <c r="N18" s="40">
        <v>0</v>
      </c>
      <c r="O18" s="41">
        <v>421251.71506581199</v>
      </c>
      <c r="P18" s="40">
        <v>106350.708633988</v>
      </c>
      <c r="Q18" s="44">
        <v>112295.803525191</v>
      </c>
    </row>
    <row r="19" spans="1:17" x14ac:dyDescent="0.2">
      <c r="A19" s="18" t="s">
        <v>36</v>
      </c>
      <c r="B19" s="39" t="e">
        <f>'uM (final) '!#REF!</f>
        <v>#REF!</v>
      </c>
      <c r="C19" s="40">
        <f>'uM (final) '!U19</f>
        <v>5.7143842288336133E-2</v>
      </c>
      <c r="D19" s="40" t="e">
        <f>'uM (final) '!#REF!</f>
        <v>#REF!</v>
      </c>
      <c r="E19" s="40">
        <f>'uM (final) '!V19</f>
        <v>7.4806176103790187E-2</v>
      </c>
      <c r="F19" s="41" t="e">
        <f>'uM (final) '!#REF!</f>
        <v>#REF!</v>
      </c>
      <c r="G19" s="41">
        <f>'uM (final) '!W19</f>
        <v>0.17608100994983342</v>
      </c>
      <c r="H19" s="40">
        <f>'uM (final) '!X19</f>
        <v>0.92580541896972057</v>
      </c>
      <c r="I19" s="41">
        <f>'uM (final) '!Y19</f>
        <v>2.7918425013564083</v>
      </c>
      <c r="J19" s="41">
        <f>'uM (final) '!Z19</f>
        <v>4.3153543420198934</v>
      </c>
      <c r="K19" s="42">
        <f>'uM (final) '!AA19</f>
        <v>0.38693509930464964</v>
      </c>
      <c r="L19" s="43">
        <v>3041357.0447311299</v>
      </c>
      <c r="M19" s="41">
        <v>149062.72749322499</v>
      </c>
      <c r="N19" s="40">
        <v>0</v>
      </c>
      <c r="O19" s="41">
        <v>692702.71982529305</v>
      </c>
      <c r="P19" s="40">
        <v>61379.6687105858</v>
      </c>
      <c r="Q19" s="44">
        <v>116588.819900203</v>
      </c>
    </row>
    <row r="20" spans="1:17" x14ac:dyDescent="0.2">
      <c r="A20" s="18" t="s">
        <v>37</v>
      </c>
      <c r="B20" s="39" t="e">
        <f>'uM (final) '!#REF!</f>
        <v>#REF!</v>
      </c>
      <c r="C20" s="40">
        <f>'uM (final) '!U20</f>
        <v>5.7384866994944779E-2</v>
      </c>
      <c r="D20" s="40" t="e">
        <f>'uM (final) '!#REF!</f>
        <v>#REF!</v>
      </c>
      <c r="E20" s="40">
        <f>'uM (final) '!V20</f>
        <v>7.6940244952063752E-2</v>
      </c>
      <c r="F20" s="41" t="e">
        <f>'uM (final) '!#REF!</f>
        <v>#REF!</v>
      </c>
      <c r="G20" s="41">
        <f>'uM (final) '!W20</f>
        <v>0.20616767358862087</v>
      </c>
      <c r="H20" s="40">
        <f>'uM (final) '!X20</f>
        <v>0.92921995140300639</v>
      </c>
      <c r="I20" s="41">
        <f>'uM (final) '!Y20</f>
        <v>3.1642614870218795</v>
      </c>
      <c r="J20" s="41">
        <f>'uM (final) '!Z20</f>
        <v>6.2747502403748054</v>
      </c>
      <c r="K20" s="42">
        <f>'uM (final) '!AA20</f>
        <v>0.43569942803360934</v>
      </c>
      <c r="L20" s="43">
        <v>3019195.08055904</v>
      </c>
      <c r="M20" s="41">
        <v>287361.01055236498</v>
      </c>
      <c r="N20" s="40">
        <v>0</v>
      </c>
      <c r="O20" s="41">
        <v>677165.44485336705</v>
      </c>
      <c r="P20" s="40">
        <v>112318.503327935</v>
      </c>
      <c r="Q20" s="44">
        <v>104811.419760335</v>
      </c>
    </row>
    <row r="21" spans="1:17" x14ac:dyDescent="0.2">
      <c r="A21" s="18" t="s">
        <v>38</v>
      </c>
      <c r="B21" s="39" t="e">
        <f>'uM (final) '!#REF!</f>
        <v>#REF!</v>
      </c>
      <c r="C21" s="40">
        <f>'uM (final) '!U21</f>
        <v>6.5998173006489802E-2</v>
      </c>
      <c r="D21" s="40" t="e">
        <f>'uM (final) '!#REF!</f>
        <v>#REF!</v>
      </c>
      <c r="E21" s="40">
        <f>'uM (final) '!V21</f>
        <v>7.3531834906169408E-2</v>
      </c>
      <c r="F21" s="41" t="e">
        <f>'uM (final) '!#REF!</f>
        <v>#REF!</v>
      </c>
      <c r="G21" s="41">
        <f>'uM (final) '!W21</f>
        <v>0.21409106261850799</v>
      </c>
      <c r="H21" s="40">
        <f>'uM (final) '!X21</f>
        <v>0.95447629467900952</v>
      </c>
      <c r="I21" s="41">
        <f>'uM (final) '!Y21</f>
        <v>0.90729895084229373</v>
      </c>
      <c r="J21" s="41">
        <f>'uM (final) '!Z21</f>
        <v>12.867424179144384</v>
      </c>
      <c r="K21" s="42">
        <f>'uM (final) '!AA21</f>
        <v>0.44107060551416216</v>
      </c>
      <c r="L21" s="43">
        <v>41245443.281144798</v>
      </c>
      <c r="M21" s="41">
        <v>157163.16721788599</v>
      </c>
      <c r="N21" s="40">
        <v>163361.45876468299</v>
      </c>
      <c r="O21" s="41">
        <v>577412.24942869402</v>
      </c>
      <c r="P21" s="40">
        <v>112352.82036363</v>
      </c>
      <c r="Q21" s="44">
        <v>115966.144178915</v>
      </c>
    </row>
    <row r="22" spans="1:17" x14ac:dyDescent="0.2">
      <c r="A22" s="18" t="s">
        <v>39</v>
      </c>
      <c r="B22" s="39" t="e">
        <f>'uM (final) '!#REF!</f>
        <v>#REF!</v>
      </c>
      <c r="C22" s="40">
        <f>'uM (final) '!U22</f>
        <v>6.7308479088473372E-2</v>
      </c>
      <c r="D22" s="40" t="e">
        <f>'uM (final) '!#REF!</f>
        <v>#REF!</v>
      </c>
      <c r="E22" s="40">
        <f>'uM (final) '!V22</f>
        <v>7.5134414299163968E-2</v>
      </c>
      <c r="F22" s="41" t="e">
        <f>'uM (final) '!#REF!</f>
        <v>#REF!</v>
      </c>
      <c r="G22" s="41">
        <f>'uM (final) '!W22</f>
        <v>0.22056003003690874</v>
      </c>
      <c r="H22" s="40">
        <f>'uM (final) '!X22</f>
        <v>0.96015973917239172</v>
      </c>
      <c r="I22" s="41">
        <f>'uM (final) '!Y22</f>
        <v>0.91396332400951941</v>
      </c>
      <c r="J22" s="41">
        <f>'uM (final) '!Z22</f>
        <v>12.518005509469456</v>
      </c>
      <c r="K22" s="42">
        <f>'uM (final) '!AA22</f>
        <v>0.45290964591353866</v>
      </c>
      <c r="L22" s="43">
        <v>46959576.764671899</v>
      </c>
      <c r="M22" s="41">
        <v>294774.83585454</v>
      </c>
      <c r="N22" s="40">
        <v>85931.502294349397</v>
      </c>
      <c r="O22" s="41">
        <v>616071.17360399803</v>
      </c>
      <c r="P22" s="40">
        <v>107151.656522933</v>
      </c>
      <c r="Q22" s="44">
        <v>147083.84140756799</v>
      </c>
    </row>
    <row r="23" spans="1:17" x14ac:dyDescent="0.2">
      <c r="A23" s="18" t="s">
        <v>40</v>
      </c>
      <c r="B23" s="39" t="e">
        <f>'uM (final) '!#REF!</f>
        <v>#REF!</v>
      </c>
      <c r="C23" s="40">
        <f>'uM (final) '!U23</f>
        <v>6.6219037672834755E-2</v>
      </c>
      <c r="D23" s="40" t="e">
        <f>'uM (final) '!#REF!</f>
        <v>#REF!</v>
      </c>
      <c r="E23" s="40">
        <f>'uM (final) '!V23</f>
        <v>7.4724051146574169E-2</v>
      </c>
      <c r="F23" s="41" t="e">
        <f>'uM (final) '!#REF!</f>
        <v>#REF!</v>
      </c>
      <c r="G23" s="41">
        <f>'uM (final) '!W23</f>
        <v>0.2188254342391836</v>
      </c>
      <c r="H23" s="40">
        <f>'uM (final) '!X23</f>
        <v>0.92784256162485057</v>
      </c>
      <c r="I23" s="41">
        <f>'uM (final) '!Y23</f>
        <v>0.87353052717270041</v>
      </c>
      <c r="J23" s="41">
        <f>'uM (final) '!Z23</f>
        <v>12.794028959795833</v>
      </c>
      <c r="K23" s="42">
        <f>'uM (final) '!AA23</f>
        <v>0.42380213891499308</v>
      </c>
      <c r="L23" s="43">
        <v>45194861.303251103</v>
      </c>
      <c r="M23" s="41">
        <v>296319.073819182</v>
      </c>
      <c r="N23" s="40">
        <v>126519.679949506</v>
      </c>
      <c r="O23" s="41">
        <v>597230.11567705101</v>
      </c>
      <c r="P23" s="40">
        <v>134604.047356422</v>
      </c>
      <c r="Q23" s="44">
        <v>96251.835199747293</v>
      </c>
    </row>
    <row r="24" spans="1:17" x14ac:dyDescent="0.2">
      <c r="A24" s="18" t="s">
        <v>41</v>
      </c>
      <c r="B24" s="39" t="e">
        <f>'uM (final) '!#REF!</f>
        <v>#REF!</v>
      </c>
      <c r="C24" s="40">
        <f>'uM (final) '!U24</f>
        <v>6.5179708772926712E-2</v>
      </c>
      <c r="D24" s="40" t="e">
        <f>'uM (final) '!#REF!</f>
        <v>#REF!</v>
      </c>
      <c r="E24" s="41">
        <f>'uM (final) '!V24</f>
        <v>7.2645896144405059E-2</v>
      </c>
      <c r="F24" s="41" t="e">
        <f>'uM (final) '!#REF!</f>
        <v>#REF!</v>
      </c>
      <c r="G24" s="41">
        <f>'uM (final) '!W24</f>
        <v>1.3821743770823958</v>
      </c>
      <c r="H24" s="40">
        <f>'uM (final) '!X24</f>
        <v>0.92750977714311444</v>
      </c>
      <c r="I24" s="41">
        <f>'uM (final) '!Y24</f>
        <v>0.87261915026528847</v>
      </c>
      <c r="J24" s="41">
        <f>'uM (final) '!Z24</f>
        <v>10.931145172091478</v>
      </c>
      <c r="K24" s="42">
        <f>'uM (final) '!AA24</f>
        <v>0.39922086802732437</v>
      </c>
      <c r="L24" s="43">
        <v>28089550.450054999</v>
      </c>
      <c r="M24" s="41">
        <v>11150319.6472883</v>
      </c>
      <c r="N24" s="41">
        <v>1507239.9015916199</v>
      </c>
      <c r="O24" s="41">
        <v>2142156.46291437</v>
      </c>
      <c r="P24" s="41">
        <v>143918.34576950801</v>
      </c>
      <c r="Q24" s="44">
        <v>120204.24452830201</v>
      </c>
    </row>
    <row r="25" spans="1:17" x14ac:dyDescent="0.2">
      <c r="A25" s="18" t="s">
        <v>42</v>
      </c>
      <c r="B25" s="39" t="e">
        <f>'uM (final) '!#REF!</f>
        <v>#REF!</v>
      </c>
      <c r="C25" s="40">
        <f>'uM (final) '!U25</f>
        <v>6.5099762479294346E-2</v>
      </c>
      <c r="D25" s="40" t="e">
        <f>'uM (final) '!#REF!</f>
        <v>#REF!</v>
      </c>
      <c r="E25" s="41">
        <f>'uM (final) '!V25</f>
        <v>7.25758949482221E-2</v>
      </c>
      <c r="F25" s="41" t="e">
        <f>'uM (final) '!#REF!</f>
        <v>#REF!</v>
      </c>
      <c r="G25" s="41">
        <f>'uM (final) '!W25</f>
        <v>1.3751574262379755</v>
      </c>
      <c r="H25" s="40">
        <f>'uM (final) '!X25</f>
        <v>0.93916102340397878</v>
      </c>
      <c r="I25" s="41">
        <f>'uM (final) '!Y25</f>
        <v>0.75327719161864881</v>
      </c>
      <c r="J25" s="41">
        <f>'uM (final) '!Z25</f>
        <v>9.6992491430784629</v>
      </c>
      <c r="K25" s="42">
        <f>'uM (final) '!AA25</f>
        <v>0.34325825381583613</v>
      </c>
      <c r="L25" s="43">
        <v>25434519.946036801</v>
      </c>
      <c r="M25" s="41">
        <v>6749522.6376113202</v>
      </c>
      <c r="N25" s="41">
        <v>856278.62118166604</v>
      </c>
      <c r="O25" s="41">
        <v>1939619.62785211</v>
      </c>
      <c r="P25" s="40">
        <v>132878.63540179201</v>
      </c>
      <c r="Q25" s="42">
        <v>241059.644008106</v>
      </c>
    </row>
    <row r="26" spans="1:17" x14ac:dyDescent="0.2">
      <c r="A26" s="18" t="s">
        <v>43</v>
      </c>
      <c r="B26" s="39" t="e">
        <f>'uM (final) '!#REF!</f>
        <v>#REF!</v>
      </c>
      <c r="C26" s="40">
        <f>'uM (final) '!U26</f>
        <v>6.4294650400286674E-2</v>
      </c>
      <c r="D26" s="40" t="e">
        <f>'uM (final) '!#REF!</f>
        <v>#REF!</v>
      </c>
      <c r="E26" s="40">
        <f>'uM (final) '!V26</f>
        <v>7.2310368513447507E-2</v>
      </c>
      <c r="F26" s="41" t="e">
        <f>'uM (final) '!#REF!</f>
        <v>#REF!</v>
      </c>
      <c r="G26" s="41">
        <f>'uM (final) '!W26</f>
        <v>1.3113601299790925</v>
      </c>
      <c r="H26" s="40">
        <f>'uM (final) '!X26</f>
        <v>0.92648228735296356</v>
      </c>
      <c r="I26" s="41">
        <f>'uM (final) '!Y26</f>
        <v>0.71477220828009869</v>
      </c>
      <c r="J26" s="41">
        <f>'uM (final) '!Z26</f>
        <v>10.14440636568747</v>
      </c>
      <c r="K26" s="42">
        <f>'uM (final) '!AA26</f>
        <v>0.34036741609328075</v>
      </c>
      <c r="L26" s="43">
        <v>25814753.362902701</v>
      </c>
      <c r="M26" s="41">
        <v>19574207.134315699</v>
      </c>
      <c r="N26" s="41">
        <v>997443.32949742104</v>
      </c>
      <c r="O26" s="41">
        <v>1697352.0205875901</v>
      </c>
      <c r="P26" s="41">
        <v>154409.493970132</v>
      </c>
      <c r="Q26" s="44">
        <v>204633.735024252</v>
      </c>
    </row>
    <row r="27" spans="1:17" x14ac:dyDescent="0.2">
      <c r="A27" s="18" t="s">
        <v>44</v>
      </c>
      <c r="B27" s="39" t="e">
        <f>'uM (final) '!#REF!</f>
        <v>#REF!</v>
      </c>
      <c r="C27" s="41">
        <f>'uM (final) '!U27</f>
        <v>7.6348637605873459E-2</v>
      </c>
      <c r="D27" s="40" t="e">
        <f>'uM (final) '!#REF!</f>
        <v>#REF!</v>
      </c>
      <c r="E27" s="41">
        <f>'uM (final) '!V27</f>
        <v>8.346976321020376E-2</v>
      </c>
      <c r="F27" s="41" t="e">
        <f>'uM (final) '!#REF!</f>
        <v>#REF!</v>
      </c>
      <c r="G27" s="41">
        <f>'uM (final) '!W27</f>
        <v>2.3674549446333888</v>
      </c>
      <c r="H27" s="40">
        <f>'uM (final) '!X27</f>
        <v>0.17714195222056942</v>
      </c>
      <c r="I27" s="41">
        <f>'uM (final) '!Y27</f>
        <v>3.1896720159892418</v>
      </c>
      <c r="J27" s="41">
        <f>'uM (final) '!Z27</f>
        <v>9.8829588036154181</v>
      </c>
      <c r="K27" s="42">
        <f>'uM (final) '!AA27</f>
        <v>8.0081307970286217E-2</v>
      </c>
      <c r="L27" s="43">
        <v>26798995.7443799</v>
      </c>
      <c r="M27" s="41">
        <v>1567495.7379384399</v>
      </c>
      <c r="N27" s="41">
        <v>91421.533035356595</v>
      </c>
      <c r="O27" s="41">
        <v>209951.672372384</v>
      </c>
      <c r="P27" s="41">
        <v>161760.19884239099</v>
      </c>
      <c r="Q27" s="44">
        <v>37690.1447466397</v>
      </c>
    </row>
    <row r="28" spans="1:17" x14ac:dyDescent="0.2">
      <c r="A28" s="18" t="s">
        <v>45</v>
      </c>
      <c r="B28" s="39" t="e">
        <f>'uM (final) '!#REF!</f>
        <v>#REF!</v>
      </c>
      <c r="C28" s="41">
        <f>'uM (final) '!U28</f>
        <v>1.1301704609478677E-2</v>
      </c>
      <c r="D28" s="40" t="e">
        <f>'uM (final) '!#REF!</f>
        <v>#REF!</v>
      </c>
      <c r="E28" s="41">
        <f>'uM (final) '!V28</f>
        <v>8.1780148435960029E-2</v>
      </c>
      <c r="F28" s="41" t="e">
        <f>'uM (final) '!#REF!</f>
        <v>#REF!</v>
      </c>
      <c r="G28" s="41">
        <f>'uM (final) '!W28</f>
        <v>1.3657278915200697</v>
      </c>
      <c r="H28" s="40">
        <f>'uM (final) '!X28</f>
        <v>0.15344833457711413</v>
      </c>
      <c r="I28" s="41">
        <f>'uM (final) '!Y28</f>
        <v>1.8186203420147915</v>
      </c>
      <c r="J28" s="41">
        <f>'uM (final) '!Z28</f>
        <v>6.0259591163386332</v>
      </c>
      <c r="K28" s="42">
        <f>'uM (final) '!AA28</f>
        <v>0.36416666428973016</v>
      </c>
      <c r="L28" s="43">
        <v>14453837.906302899</v>
      </c>
      <c r="M28" s="41">
        <v>1906021.3564037799</v>
      </c>
      <c r="N28" s="40">
        <v>40502.228847897903</v>
      </c>
      <c r="O28" s="41">
        <v>240603.899328081</v>
      </c>
      <c r="P28" s="40">
        <v>91060.260228038795</v>
      </c>
      <c r="Q28" s="44">
        <v>16542.8135333018</v>
      </c>
    </row>
    <row r="29" spans="1:17" x14ac:dyDescent="0.2">
      <c r="A29" s="18" t="s">
        <v>46</v>
      </c>
      <c r="B29" s="39" t="e">
        <f>'uM (final) '!#REF!</f>
        <v>#REF!</v>
      </c>
      <c r="C29" s="41">
        <f>'uM (final) '!U29</f>
        <v>1.2349223210773169E-2</v>
      </c>
      <c r="D29" s="40" t="e">
        <f>'uM (final) '!#REF!</f>
        <v>#REF!</v>
      </c>
      <c r="E29" s="41">
        <f>'uM (final) '!V29</f>
        <v>9.8051478828524719E-2</v>
      </c>
      <c r="F29" s="41" t="e">
        <f>'uM (final) '!#REF!</f>
        <v>#REF!</v>
      </c>
      <c r="G29" s="41">
        <f>'uM (final) '!W29</f>
        <v>1.8630916162970808</v>
      </c>
      <c r="H29" s="40">
        <f>'uM (final) '!X29</f>
        <v>0.15344833457711413</v>
      </c>
      <c r="I29" s="41">
        <f>'uM (final) '!Y29</f>
        <v>3.2518021855692787</v>
      </c>
      <c r="J29" s="41">
        <f>'uM (final) '!Z29</f>
        <v>5.8138731695491899</v>
      </c>
      <c r="K29" s="42">
        <f>'uM (final) '!AA29</f>
        <v>0.45579227783945275</v>
      </c>
      <c r="L29" s="43">
        <v>21981926.654068299</v>
      </c>
      <c r="M29" s="41">
        <v>3123331.5126408399</v>
      </c>
      <c r="N29" s="41">
        <v>597937.64672455995</v>
      </c>
      <c r="O29" s="41">
        <v>309482.38641032402</v>
      </c>
      <c r="P29" s="41">
        <v>167671.99585529999</v>
      </c>
      <c r="Q29" s="44">
        <v>14634.3203148459</v>
      </c>
    </row>
    <row r="30" spans="1:17" x14ac:dyDescent="0.2">
      <c r="A30" s="18" t="s">
        <v>47</v>
      </c>
      <c r="B30" s="39" t="e">
        <f>'uM (final) '!#REF!</f>
        <v>#REF!</v>
      </c>
      <c r="C30" s="41">
        <f>'uM (final) '!U30</f>
        <v>1.1972485870443994E-2</v>
      </c>
      <c r="D30" s="40" t="e">
        <f>'uM (final) '!#REF!</f>
        <v>#REF!</v>
      </c>
      <c r="E30" s="41">
        <f>'uM (final) '!V30</f>
        <v>9.6869795185824142E-2</v>
      </c>
      <c r="F30" s="41" t="e">
        <f>'uM (final) '!#REF!</f>
        <v>#REF!</v>
      </c>
      <c r="G30" s="41">
        <f>'uM (final) '!W30</f>
        <v>1.1389076998816148</v>
      </c>
      <c r="H30" s="40">
        <f>'uM (final) '!X30</f>
        <v>0.17942364669090435</v>
      </c>
      <c r="I30" s="41">
        <f>'uM (final) '!Y30</f>
        <v>4.6177117275396657</v>
      </c>
      <c r="J30" s="41">
        <f>'uM (final) '!Z30</f>
        <v>6.6968744546843757</v>
      </c>
      <c r="K30" s="42">
        <f>'uM (final) '!AA30</f>
        <v>0.49497711901146541</v>
      </c>
      <c r="L30" s="43">
        <v>3355962.00644759</v>
      </c>
      <c r="M30" s="41">
        <v>832009.76258359104</v>
      </c>
      <c r="N30" s="40">
        <v>0</v>
      </c>
      <c r="O30" s="41">
        <v>1821345.7957386901</v>
      </c>
      <c r="P30" s="41">
        <v>219950.81428485701</v>
      </c>
      <c r="Q30" s="42">
        <v>303492.10785000102</v>
      </c>
    </row>
    <row r="31" spans="1:17" x14ac:dyDescent="0.2">
      <c r="A31" s="18" t="s">
        <v>48</v>
      </c>
      <c r="B31" s="39" t="e">
        <f>'uM (final) '!#REF!</f>
        <v>#REF!</v>
      </c>
      <c r="C31" s="41">
        <f>'uM (final) '!U31</f>
        <v>1.1707180995259107E-2</v>
      </c>
      <c r="D31" s="40" t="e">
        <f>'uM (final) '!#REF!</f>
        <v>#REF!</v>
      </c>
      <c r="E31" s="41">
        <f>'uM (final) '!V31</f>
        <v>0.10866410921076776</v>
      </c>
      <c r="F31" s="41" t="e">
        <f>'uM (final) '!#REF!</f>
        <v>#REF!</v>
      </c>
      <c r="G31" s="41">
        <f>'uM (final) '!W31</f>
        <v>1.0440524378972278</v>
      </c>
      <c r="H31" s="40">
        <f>'uM (final) '!X31</f>
        <v>0.15344833457711413</v>
      </c>
      <c r="I31" s="41">
        <f>'uM (final) '!Y31</f>
        <v>4.4427581248225083</v>
      </c>
      <c r="J31" s="41">
        <f>'uM (final) '!Z31</f>
        <v>5.4677449846342823</v>
      </c>
      <c r="K31" s="42">
        <f>'uM (final) '!AA31</f>
        <v>0.57214852464501931</v>
      </c>
      <c r="L31" s="43">
        <v>3048769.4274545</v>
      </c>
      <c r="M31" s="41">
        <v>853179.77930826298</v>
      </c>
      <c r="N31" s="40">
        <v>0</v>
      </c>
      <c r="O31" s="41">
        <v>1383923.3176993399</v>
      </c>
      <c r="P31" s="41">
        <v>236412.00526597101</v>
      </c>
      <c r="Q31" s="42">
        <v>285473.238190473</v>
      </c>
    </row>
    <row r="32" spans="1:17" x14ac:dyDescent="0.2">
      <c r="A32" s="18" t="s">
        <v>49</v>
      </c>
      <c r="B32" s="39" t="e">
        <f>'uM (final) '!#REF!</f>
        <v>#REF!</v>
      </c>
      <c r="C32" s="41">
        <f>'uM (final) '!U32</f>
        <v>1.1982952612615644E-2</v>
      </c>
      <c r="D32" s="40" t="e">
        <f>'uM (final) '!#REF!</f>
        <v>#REF!</v>
      </c>
      <c r="E32" s="41">
        <f>'uM (final) '!V32</f>
        <v>0.10315875689148973</v>
      </c>
      <c r="F32" s="41" t="e">
        <f>'uM (final) '!#REF!</f>
        <v>#REF!</v>
      </c>
      <c r="G32" s="41">
        <f>'uM (final) '!W32</f>
        <v>1.035434742284244</v>
      </c>
      <c r="H32" s="40">
        <f>'uM (final) '!X32</f>
        <v>0.15344833457711413</v>
      </c>
      <c r="I32" s="41">
        <f>'uM (final) '!Y32</f>
        <v>4.6894266558032767</v>
      </c>
      <c r="J32" s="41">
        <f>'uM (final) '!Z32</f>
        <v>4.6923193340095848</v>
      </c>
      <c r="K32" s="42">
        <f>'uM (final) '!AA32</f>
        <v>0.57150531782830838</v>
      </c>
      <c r="L32" s="43">
        <v>2995179.7760427701</v>
      </c>
      <c r="M32" s="41">
        <v>1326156.8200233199</v>
      </c>
      <c r="N32" s="40">
        <v>0</v>
      </c>
      <c r="O32" s="41">
        <v>1856942.4665552501</v>
      </c>
      <c r="P32" s="41">
        <v>226316.51224611199</v>
      </c>
      <c r="Q32" s="42">
        <v>312709.78518101998</v>
      </c>
    </row>
    <row r="33" spans="1:17" x14ac:dyDescent="0.2">
      <c r="A33" s="18" t="s">
        <v>50</v>
      </c>
      <c r="B33" s="39" t="e">
        <f>'uM (final) '!#REF!</f>
        <v>#REF!</v>
      </c>
      <c r="C33" s="41">
        <f>'uM (final) '!U33</f>
        <v>1.2949784906116472E-2</v>
      </c>
      <c r="D33" s="40" t="e">
        <f>'uM (final) '!#REF!</f>
        <v>#REF!</v>
      </c>
      <c r="E33" s="41">
        <f>'uM (final) '!V33</f>
        <v>9.9562425404429125E-2</v>
      </c>
      <c r="F33" s="41" t="e">
        <f>'uM (final) '!#REF!</f>
        <v>#REF!</v>
      </c>
      <c r="G33" s="41">
        <f>'uM (final) '!W33</f>
        <v>1.304281475811087</v>
      </c>
      <c r="H33" s="40">
        <f>'uM (final) '!X33</f>
        <v>0.18552318888032301</v>
      </c>
      <c r="I33" s="41">
        <f>'uM (final) '!Y33</f>
        <v>2.1148446662378033</v>
      </c>
      <c r="J33" s="41">
        <f>'uM (final) '!Z33</f>
        <v>12.6717585943394</v>
      </c>
      <c r="K33" s="42">
        <f>'uM (final) '!AA33</f>
        <v>0.76267380533527429</v>
      </c>
      <c r="L33" s="43">
        <v>40437040.503075697</v>
      </c>
      <c r="M33" s="41">
        <v>935333.21846583695</v>
      </c>
      <c r="N33" s="41">
        <v>265458.89494206</v>
      </c>
      <c r="O33" s="41">
        <v>2042721.64937457</v>
      </c>
      <c r="P33" s="41">
        <v>248222.64499910601</v>
      </c>
      <c r="Q33" s="42">
        <v>363089.11512716999</v>
      </c>
    </row>
    <row r="34" spans="1:17" x14ac:dyDescent="0.2">
      <c r="A34" s="18" t="s">
        <v>51</v>
      </c>
      <c r="B34" s="39" t="e">
        <f>'uM (final) '!#REF!</f>
        <v>#REF!</v>
      </c>
      <c r="C34" s="41">
        <f>'uM (final) '!U34</f>
        <v>1.3335478234605631E-2</v>
      </c>
      <c r="D34" s="40" t="e">
        <f>'uM (final) '!#REF!</f>
        <v>#REF!</v>
      </c>
      <c r="E34" s="41">
        <f>'uM (final) '!V34</f>
        <v>0.10492441411735143</v>
      </c>
      <c r="F34" s="41" t="e">
        <f>'uM (final) '!#REF!</f>
        <v>#REF!</v>
      </c>
      <c r="G34" s="41">
        <f>'uM (final) '!W34</f>
        <v>1.5363883751774534</v>
      </c>
      <c r="H34" s="40">
        <f>'uM (final) '!X34</f>
        <v>0.1775552205914559</v>
      </c>
      <c r="I34" s="41">
        <f>'uM (final) '!Y34</f>
        <v>2.3220973139279977</v>
      </c>
      <c r="J34" s="41">
        <f>'uM (final) '!Z34</f>
        <v>14.187144672528037</v>
      </c>
      <c r="K34" s="42">
        <f>'uM (final) '!AA34</f>
        <v>0.72654263239429495</v>
      </c>
      <c r="L34" s="43">
        <v>53171500.868527398</v>
      </c>
      <c r="M34" s="41">
        <v>1062994.35362044</v>
      </c>
      <c r="N34" s="41">
        <v>249768.596456367</v>
      </c>
      <c r="O34" s="41">
        <v>2321983.3407479399</v>
      </c>
      <c r="P34" s="41">
        <v>246599.15945715099</v>
      </c>
      <c r="Q34" s="42">
        <v>431338.22616445698</v>
      </c>
    </row>
    <row r="35" spans="1:17" x14ac:dyDescent="0.2">
      <c r="A35" s="18" t="s">
        <v>52</v>
      </c>
      <c r="B35" s="39" t="e">
        <f>'uM (final) '!#REF!</f>
        <v>#REF!</v>
      </c>
      <c r="C35" s="41">
        <f>'uM (final) '!U35</f>
        <v>1.3353434115428997E-2</v>
      </c>
      <c r="D35" s="40" t="e">
        <f>'uM (final) '!#REF!</f>
        <v>#REF!</v>
      </c>
      <c r="E35" s="41">
        <f>'uM (final) '!V35</f>
        <v>0.10143718175354634</v>
      </c>
      <c r="F35" s="41" t="e">
        <f>'uM (final) '!#REF!</f>
        <v>#REF!</v>
      </c>
      <c r="G35" s="41">
        <f>'uM (final) '!W35</f>
        <v>1.4238814151923733</v>
      </c>
      <c r="H35" s="40">
        <f>'uM (final) '!X35</f>
        <v>0.17811439058964651</v>
      </c>
      <c r="I35" s="41">
        <f>'uM (final) '!Y35</f>
        <v>2.3290380051591728</v>
      </c>
      <c r="J35" s="41">
        <f>'uM (final) '!Z35</f>
        <v>16.897110048484834</v>
      </c>
      <c r="K35" s="42">
        <f>'uM (final) '!AA35</f>
        <v>0.72480232568139713</v>
      </c>
      <c r="L35" s="43">
        <v>43974790.236830197</v>
      </c>
      <c r="M35" s="41">
        <v>808491.29264439305</v>
      </c>
      <c r="N35" s="41">
        <v>287896.36348938401</v>
      </c>
      <c r="O35" s="41">
        <v>2427311.4667738699</v>
      </c>
      <c r="P35" s="41">
        <v>277398.795228437</v>
      </c>
      <c r="Q35" s="42">
        <v>423205.027478965</v>
      </c>
    </row>
    <row r="36" spans="1:17" x14ac:dyDescent="0.2">
      <c r="A36" s="18" t="s">
        <v>53</v>
      </c>
      <c r="B36" s="39" t="e">
        <f>'uM (final) '!#REF!</f>
        <v>#REF!</v>
      </c>
      <c r="C36" s="41">
        <f>'uM (final) '!U36</f>
        <v>1.2207910070205816E-2</v>
      </c>
      <c r="D36" s="40" t="e">
        <f>'uM (final) '!#REF!</f>
        <v>#REF!</v>
      </c>
      <c r="E36" s="41">
        <f>'uM (final) '!V36</f>
        <v>8.9522275961385234E-2</v>
      </c>
      <c r="F36" s="41" t="e">
        <f>'uM (final) '!#REF!</f>
        <v>#REF!</v>
      </c>
      <c r="G36" s="41">
        <f>'uM (final) '!W36</f>
        <v>2.305302713365184</v>
      </c>
      <c r="H36" s="40">
        <f>'uM (final) '!X36</f>
        <v>0.15344833457711413</v>
      </c>
      <c r="I36" s="41">
        <f>'uM (final) '!Y36</f>
        <v>1.8525261133809636</v>
      </c>
      <c r="J36" s="41">
        <f>'uM (final) '!Z36</f>
        <v>10.8244297077753</v>
      </c>
      <c r="K36" s="42">
        <f>'uM (final) '!AA36</f>
        <v>0.61551991344022883</v>
      </c>
      <c r="L36" s="43">
        <v>2997199.3551998599</v>
      </c>
      <c r="M36" s="41">
        <v>10339279.838909401</v>
      </c>
      <c r="N36" s="41">
        <v>3841475.2478651898</v>
      </c>
      <c r="O36" s="41">
        <v>1582959.06850614</v>
      </c>
      <c r="P36" s="41">
        <v>299121.70652882202</v>
      </c>
      <c r="Q36" s="42">
        <v>264567.19232578902</v>
      </c>
    </row>
    <row r="37" spans="1:17" x14ac:dyDescent="0.2">
      <c r="A37" s="18" t="s">
        <v>54</v>
      </c>
      <c r="B37" s="39" t="e">
        <f>'uM (final) '!#REF!</f>
        <v>#REF!</v>
      </c>
      <c r="C37" s="41">
        <f>'uM (final) '!U37</f>
        <v>1.2752891048308623E-2</v>
      </c>
      <c r="D37" s="40" t="e">
        <f>'uM (final) '!#REF!</f>
        <v>#REF!</v>
      </c>
      <c r="E37" s="41">
        <f>'uM (final) '!V37</f>
        <v>9.8143798831859544E-2</v>
      </c>
      <c r="F37" s="41" t="e">
        <f>'uM (final) '!#REF!</f>
        <v>#REF!</v>
      </c>
      <c r="G37" s="41">
        <f>'uM (final) '!W37</f>
        <v>2.5967247769678701</v>
      </c>
      <c r="H37" s="40">
        <f>'uM (final) '!X37</f>
        <v>0.15344833457711413</v>
      </c>
      <c r="I37" s="41">
        <f>'uM (final) '!Y37</f>
        <v>1.9985355238155231</v>
      </c>
      <c r="J37" s="41">
        <f>'uM (final) '!Z37</f>
        <v>12.83291228136169</v>
      </c>
      <c r="K37" s="42">
        <f>'uM (final) '!AA37</f>
        <v>0.65557978746143075</v>
      </c>
      <c r="L37" s="43">
        <v>30013361.2584447</v>
      </c>
      <c r="M37" s="41">
        <v>4441669.5865287296</v>
      </c>
      <c r="N37" s="41">
        <v>3612506.1262693298</v>
      </c>
      <c r="O37" s="41">
        <v>2299238.15558297</v>
      </c>
      <c r="P37" s="41">
        <v>300677.298537125</v>
      </c>
      <c r="Q37" s="42">
        <v>379443.64529555402</v>
      </c>
    </row>
    <row r="38" spans="1:17" x14ac:dyDescent="0.2">
      <c r="A38" s="18" t="s">
        <v>55</v>
      </c>
      <c r="B38" s="39" t="e">
        <f>'uM (final) '!#REF!</f>
        <v>#REF!</v>
      </c>
      <c r="C38" s="41">
        <f>'uM (final) '!U38</f>
        <v>1.2864864692032386E-2</v>
      </c>
      <c r="D38" s="40" t="e">
        <f>'uM (final) '!#REF!</f>
        <v>#REF!</v>
      </c>
      <c r="E38" s="41">
        <f>'uM (final) '!V38</f>
        <v>0.10325592801344563</v>
      </c>
      <c r="F38" s="41" t="e">
        <f>'uM (final) '!#REF!</f>
        <v>#REF!</v>
      </c>
      <c r="G38" s="41">
        <f>'uM (final) '!W38</f>
        <v>2.7879773443750184</v>
      </c>
      <c r="H38" s="40">
        <f>'uM (final) '!X38</f>
        <v>0.15344833457711413</v>
      </c>
      <c r="I38" s="41">
        <f>'uM (final) '!Y38</f>
        <v>1.868826226068796</v>
      </c>
      <c r="J38" s="41">
        <f>'uM (final) '!Z38</f>
        <v>11.69253443503135</v>
      </c>
      <c r="K38" s="42">
        <f>'uM (final) '!AA38</f>
        <v>0.67238846812166442</v>
      </c>
      <c r="L38" s="43">
        <v>39778672.033433698</v>
      </c>
      <c r="M38" s="41">
        <v>8757185.7376716007</v>
      </c>
      <c r="N38" s="41">
        <v>6385572.6537453197</v>
      </c>
      <c r="O38" s="41">
        <v>2341526.36356339</v>
      </c>
      <c r="P38" s="41">
        <v>338947.415003156</v>
      </c>
      <c r="Q38" s="42">
        <v>397611.60173719598</v>
      </c>
    </row>
    <row r="39" spans="1:17" x14ac:dyDescent="0.2">
      <c r="A39" s="18" t="s">
        <v>56</v>
      </c>
      <c r="B39" s="39" t="e">
        <f>'uM (final) '!#REF!</f>
        <v>#REF!</v>
      </c>
      <c r="C39" s="41">
        <f>'uM (final) '!U39</f>
        <v>1.982109745087467E-2</v>
      </c>
      <c r="D39" s="41" t="e">
        <f>'uM (final) '!#REF!</f>
        <v>#REF!</v>
      </c>
      <c r="E39" s="41">
        <f>'uM (final) '!V39</f>
        <v>0.10376689864691661</v>
      </c>
      <c r="F39" s="41" t="e">
        <f>'uM (final) '!#REF!</f>
        <v>#REF!</v>
      </c>
      <c r="G39" s="41">
        <f>'uM (final) '!W39</f>
        <v>7.2353646213204232</v>
      </c>
      <c r="H39" s="41">
        <f>'uM (final) '!X39</f>
        <v>0.27325461498760517</v>
      </c>
      <c r="I39" s="41">
        <f>'uM (final) '!Y39</f>
        <v>7.2864851798623631</v>
      </c>
      <c r="J39" s="41">
        <f>'uM (final) '!Z39</f>
        <v>45.002718524596084</v>
      </c>
      <c r="K39" s="42">
        <f>'uM (final) '!AA39</f>
        <v>0.82925664775434671</v>
      </c>
      <c r="L39" s="43">
        <v>49065509.163968198</v>
      </c>
      <c r="M39" s="41">
        <v>10954547.3829356</v>
      </c>
      <c r="N39" s="41">
        <v>449691.17932503601</v>
      </c>
      <c r="O39" s="41">
        <v>14534649.443150301</v>
      </c>
      <c r="P39" s="41">
        <v>968772.01205787901</v>
      </c>
      <c r="Q39" s="42">
        <v>1081237.41375571</v>
      </c>
    </row>
    <row r="40" spans="1:17" x14ac:dyDescent="0.2">
      <c r="A40" s="18" t="s">
        <v>57</v>
      </c>
      <c r="B40" s="39" t="e">
        <f>'uM (final) '!#REF!</f>
        <v>#REF!</v>
      </c>
      <c r="C40" s="41">
        <f>'uM (final) '!U40</f>
        <v>2.064358776356218E-2</v>
      </c>
      <c r="D40" s="41" t="e">
        <f>'uM (final) '!#REF!</f>
        <v>#REF!</v>
      </c>
      <c r="E40" s="41">
        <f>'uM (final) '!V40</f>
        <v>0.11511925638343787</v>
      </c>
      <c r="F40" s="41" t="e">
        <f>'uM (final) '!#REF!</f>
        <v>#REF!</v>
      </c>
      <c r="G40" s="41">
        <f>'uM (final) '!W40</f>
        <v>7.5851168250143175</v>
      </c>
      <c r="H40" s="41">
        <f>'uM (final) '!X40</f>
        <v>0.2871033444842413</v>
      </c>
      <c r="I40" s="41">
        <f>'uM (final) '!Y40</f>
        <v>8.4617189762350584</v>
      </c>
      <c r="J40" s="41">
        <f>'uM (final) '!Z40</f>
        <v>47.07963162797283</v>
      </c>
      <c r="K40" s="42">
        <f>'uM (final) '!AA40</f>
        <v>0.52024972417896687</v>
      </c>
      <c r="L40" s="43">
        <v>35860319.762512602</v>
      </c>
      <c r="M40" s="41">
        <v>10667487.743461199</v>
      </c>
      <c r="N40" s="41">
        <v>605502.66812771605</v>
      </c>
      <c r="O40" s="41">
        <v>15819685.793046501</v>
      </c>
      <c r="P40" s="41">
        <v>1039881.99664264</v>
      </c>
      <c r="Q40" s="42">
        <v>1166690.1617318101</v>
      </c>
    </row>
    <row r="41" spans="1:17" x14ac:dyDescent="0.2">
      <c r="A41" s="18" t="s">
        <v>58</v>
      </c>
      <c r="B41" s="39" t="e">
        <f>'uM (final) '!#REF!</f>
        <v>#REF!</v>
      </c>
      <c r="C41" s="41">
        <f>'uM (final) '!U41</f>
        <v>2.2215990406634356E-2</v>
      </c>
      <c r="D41" s="41" t="e">
        <f>'uM (final) '!#REF!</f>
        <v>#REF!</v>
      </c>
      <c r="E41" s="41">
        <f>'uM (final) '!V41</f>
        <v>0.14360214194350468</v>
      </c>
      <c r="F41" s="41" t="e">
        <f>'uM (final) '!#REF!</f>
        <v>#REF!</v>
      </c>
      <c r="G41" s="41">
        <f>'uM (final) '!W41</f>
        <v>8.3132585227885958</v>
      </c>
      <c r="H41" s="41">
        <f>'uM (final) '!X41</f>
        <v>0.33710469161967199</v>
      </c>
      <c r="I41" s="41">
        <f>'uM (final) '!Y41</f>
        <v>8.1093354258558268</v>
      </c>
      <c r="J41" s="41">
        <f>'uM (final) '!Z41</f>
        <v>42.742749407089214</v>
      </c>
      <c r="K41" s="42">
        <f>'uM (final) '!AA41</f>
        <v>0.80450477492116124</v>
      </c>
      <c r="L41" s="43">
        <v>82016514.257777601</v>
      </c>
      <c r="M41" s="41">
        <v>8528894.9911861494</v>
      </c>
      <c r="N41" s="41">
        <v>637557.87497022399</v>
      </c>
      <c r="O41" s="41">
        <v>15739988.0466328</v>
      </c>
      <c r="P41" s="41">
        <v>993309.11601460201</v>
      </c>
      <c r="Q41" s="42">
        <v>1517262.2556720099</v>
      </c>
    </row>
    <row r="42" spans="1:17" x14ac:dyDescent="0.2">
      <c r="A42" s="18" t="s">
        <v>59</v>
      </c>
      <c r="B42" s="39" t="e">
        <f>'uM (final) '!#REF!</f>
        <v>#REF!</v>
      </c>
      <c r="C42" s="41">
        <f>'uM (final) '!U42</f>
        <v>1.2309705905360735E-2</v>
      </c>
      <c r="D42" s="40" t="e">
        <f>'uM (final) '!#REF!</f>
        <v>#REF!</v>
      </c>
      <c r="E42" s="41">
        <f>'uM (final) '!V42</f>
        <v>0.19468660392799497</v>
      </c>
      <c r="F42" s="41" t="e">
        <f>'uM (final) '!#REF!</f>
        <v>#REF!</v>
      </c>
      <c r="G42" s="41">
        <f>'uM (final) '!W42</f>
        <v>0.93558410086366828</v>
      </c>
      <c r="H42" s="41">
        <f>'uM (final) '!X42</f>
        <v>0.22063981210910191</v>
      </c>
      <c r="I42" s="41">
        <f>'uM (final) '!Y42</f>
        <v>13.290551908016464</v>
      </c>
      <c r="J42" s="41">
        <f>'uM (final) '!Z42</f>
        <v>9.3499370036373008</v>
      </c>
      <c r="K42" s="42">
        <f>'uM (final) '!AA42</f>
        <v>1.0065331422861825</v>
      </c>
      <c r="L42" s="43">
        <v>37356.916743844398</v>
      </c>
      <c r="M42" s="41">
        <v>440310.43727160402</v>
      </c>
      <c r="N42" s="40">
        <v>0</v>
      </c>
      <c r="O42" s="41">
        <v>3487189.7119300198</v>
      </c>
      <c r="P42" s="41">
        <v>512975.96888936497</v>
      </c>
      <c r="Q42" s="42">
        <v>711760.52857967105</v>
      </c>
    </row>
    <row r="43" spans="1:17" x14ac:dyDescent="0.2">
      <c r="A43" s="18" t="s">
        <v>60</v>
      </c>
      <c r="B43" s="39" t="e">
        <f>'uM (final) '!#REF!</f>
        <v>#REF!</v>
      </c>
      <c r="C43" s="41">
        <f>'uM (final) '!U43</f>
        <v>1.1797629786536807E-2</v>
      </c>
      <c r="D43" s="40" t="e">
        <f>'uM (final) '!#REF!</f>
        <v>#REF!</v>
      </c>
      <c r="E43" s="41">
        <f>'uM (final) '!V43</f>
        <v>0.16126137644132615</v>
      </c>
      <c r="F43" s="41" t="e">
        <f>'uM (final) '!#REF!</f>
        <v>#REF!</v>
      </c>
      <c r="G43" s="41">
        <f>'uM (final) '!W43</f>
        <v>0.73750378281477691</v>
      </c>
      <c r="H43" s="41">
        <f>'uM (final) '!X43</f>
        <v>0.2612456941229207</v>
      </c>
      <c r="I43" s="41">
        <f>'uM (final) '!Y43</f>
        <v>12.844156226475009</v>
      </c>
      <c r="J43" s="41">
        <f>'uM (final) '!Z43</f>
        <v>10.530896594155674</v>
      </c>
      <c r="K43" s="42">
        <f>'uM (final) '!AA43</f>
        <v>0.93953235639423971</v>
      </c>
      <c r="L43" s="43">
        <v>2759326.92491335</v>
      </c>
      <c r="M43" s="41">
        <v>483772.88100432302</v>
      </c>
      <c r="N43" s="40">
        <v>0</v>
      </c>
      <c r="O43" s="41">
        <v>3742957.5212996202</v>
      </c>
      <c r="P43" s="41">
        <v>354458.81644802098</v>
      </c>
      <c r="Q43" s="42">
        <v>677040.25867476605</v>
      </c>
    </row>
    <row r="44" spans="1:17" x14ac:dyDescent="0.2">
      <c r="A44" s="18" t="s">
        <v>61</v>
      </c>
      <c r="B44" s="39" t="e">
        <f>'uM (final) '!#REF!</f>
        <v>#REF!</v>
      </c>
      <c r="C44" s="40">
        <f>'uM (final) '!U44</f>
        <v>1.0467475588617334E-2</v>
      </c>
      <c r="D44" s="40" t="e">
        <f>'uM (final) '!#REF!</f>
        <v>#REF!</v>
      </c>
      <c r="E44" s="40">
        <f>'uM (final) '!V44</f>
        <v>0.10390120566295136</v>
      </c>
      <c r="F44" s="41" t="e">
        <f>'uM (final) '!#REF!</f>
        <v>#REF!</v>
      </c>
      <c r="G44" s="41">
        <f>'uM (final) '!W44</f>
        <v>0.34452416286236609</v>
      </c>
      <c r="H44" s="40">
        <f>'uM (final) '!X44</f>
        <v>0.19744651631125087</v>
      </c>
      <c r="I44" s="41">
        <f>'uM (final) '!Y44</f>
        <v>6.01387287724293</v>
      </c>
      <c r="J44" s="41">
        <f>'uM (final) '!Z44</f>
        <v>7.8549346153537867</v>
      </c>
      <c r="K44" s="42">
        <f>'uM (final) '!AA44</f>
        <v>0.71536630833983861</v>
      </c>
      <c r="L44" s="43">
        <v>1531914.4937991099</v>
      </c>
      <c r="M44" s="41">
        <v>1349748.46361239</v>
      </c>
      <c r="N44" s="40">
        <v>0</v>
      </c>
      <c r="O44" s="41">
        <v>1627449.2079195001</v>
      </c>
      <c r="P44" s="41">
        <v>173299.11379135301</v>
      </c>
      <c r="Q44" s="42">
        <v>233578.41098017999</v>
      </c>
    </row>
    <row r="45" spans="1:17" x14ac:dyDescent="0.2">
      <c r="A45" s="18" t="s">
        <v>62</v>
      </c>
      <c r="B45" s="39" t="e">
        <f>'uM (final) '!#REF!</f>
        <v>#REF!</v>
      </c>
      <c r="C45" s="41">
        <f>'uM (final) '!U45</f>
        <v>2.0260322056999184E-2</v>
      </c>
      <c r="D45" s="40" t="e">
        <f>'uM (final) '!#REF!</f>
        <v>#REF!</v>
      </c>
      <c r="E45" s="41">
        <f>'uM (final) '!V45</f>
        <v>0.14991130989461954</v>
      </c>
      <c r="F45" s="41" t="e">
        <f>'uM (final) '!#REF!</f>
        <v>#REF!</v>
      </c>
      <c r="G45" s="41">
        <f>'uM (final) '!W45</f>
        <v>0.85245639869708512</v>
      </c>
      <c r="H45" s="41">
        <f>'uM (final) '!X45</f>
        <v>0.28496999617733104</v>
      </c>
      <c r="I45" s="41">
        <f>'uM (final) '!Y45</f>
        <v>5.3368850362363034</v>
      </c>
      <c r="J45" s="41">
        <f>'uM (final) '!Z45</f>
        <v>31.238137056302488</v>
      </c>
      <c r="K45" s="42">
        <f>'uM (final) '!AA45</f>
        <v>1.1230002304847009</v>
      </c>
      <c r="L45" s="43">
        <v>112193193.417037</v>
      </c>
      <c r="M45" s="41">
        <v>432366.081559374</v>
      </c>
      <c r="N45" s="41">
        <v>1555249.0439925599</v>
      </c>
      <c r="O45" s="41">
        <v>2585865.85277736</v>
      </c>
      <c r="P45" s="41">
        <v>545891.53136841697</v>
      </c>
      <c r="Q45" s="42">
        <v>671940.47484935599</v>
      </c>
    </row>
    <row r="46" spans="1:17" x14ac:dyDescent="0.2">
      <c r="A46" s="18" t="s">
        <v>63</v>
      </c>
      <c r="B46" s="39" t="e">
        <f>'uM (final) '!#REF!</f>
        <v>#REF!</v>
      </c>
      <c r="C46" s="41">
        <f>'uM (final) '!U46</f>
        <v>2.0818702096698241E-2</v>
      </c>
      <c r="D46" s="40" t="e">
        <f>'uM (final) '!#REF!</f>
        <v>#REF!</v>
      </c>
      <c r="E46" s="41">
        <f>'uM (final) '!V46</f>
        <v>0.15322284249069262</v>
      </c>
      <c r="F46" s="41" t="e">
        <f>'uM (final) '!#REF!</f>
        <v>#REF!</v>
      </c>
      <c r="G46" s="41">
        <f>'uM (final) '!W46</f>
        <v>0.93104458735823492</v>
      </c>
      <c r="H46" s="41">
        <f>'uM (final) '!X46</f>
        <v>0.31355000108844799</v>
      </c>
      <c r="I46" s="41">
        <f>'uM (final) '!Y46</f>
        <v>6.034783818165165</v>
      </c>
      <c r="J46" s="41">
        <f>'uM (final) '!Z46</f>
        <v>30.85119220272998</v>
      </c>
      <c r="K46" s="42">
        <f>'uM (final) '!AA46</f>
        <v>1.1325633189718958</v>
      </c>
      <c r="L46" s="43">
        <v>71094932.568341002</v>
      </c>
      <c r="M46" s="41">
        <v>580452.77610993595</v>
      </c>
      <c r="N46" s="41">
        <v>1264136.45787751</v>
      </c>
      <c r="O46" s="41">
        <v>2948109.4008278102</v>
      </c>
      <c r="P46" s="41">
        <v>506919.46511275502</v>
      </c>
      <c r="Q46" s="42">
        <v>810247.51842611702</v>
      </c>
    </row>
    <row r="47" spans="1:17" x14ac:dyDescent="0.2">
      <c r="A47" s="18" t="s">
        <v>64</v>
      </c>
      <c r="B47" s="39" t="e">
        <f>'uM (final) '!#REF!</f>
        <v>#REF!</v>
      </c>
      <c r="C47" s="41">
        <f>'uM (final) '!U47</f>
        <v>2.0418493368237426E-2</v>
      </c>
      <c r="D47" s="40" t="e">
        <f>'uM (final) '!#REF!</f>
        <v>#REF!</v>
      </c>
      <c r="E47" s="41">
        <f>'uM (final) '!V47</f>
        <v>0.16204697035838464</v>
      </c>
      <c r="F47" s="41" t="e">
        <f>'uM (final) '!#REF!</f>
        <v>#REF!</v>
      </c>
      <c r="G47" s="41">
        <f>'uM (final) '!W47</f>
        <v>0.97080987032196553</v>
      </c>
      <c r="H47" s="41">
        <f>'uM (final) '!X47</f>
        <v>0.28529861716200777</v>
      </c>
      <c r="I47" s="41">
        <f>'uM (final) '!Y47</f>
        <v>5.2693038808587316</v>
      </c>
      <c r="J47" s="41">
        <f>'uM (final) '!Z47</f>
        <v>40.916778361162294</v>
      </c>
      <c r="K47" s="42">
        <f>'uM (final) '!AA47</f>
        <v>1.1308888397875756</v>
      </c>
      <c r="L47" s="43">
        <v>63633126.400472</v>
      </c>
      <c r="M47" s="41">
        <v>1281544.6343018401</v>
      </c>
      <c r="N47" s="41">
        <v>1398268.10274063</v>
      </c>
      <c r="O47" s="41">
        <v>2854996.2386761401</v>
      </c>
      <c r="P47" s="41">
        <v>622010.71490386198</v>
      </c>
      <c r="Q47" s="42">
        <v>727364.35575258394</v>
      </c>
    </row>
    <row r="48" spans="1:17" x14ac:dyDescent="0.2">
      <c r="A48" s="18" t="s">
        <v>65</v>
      </c>
      <c r="B48" s="39" t="e">
        <f>'uM (final) '!#REF!</f>
        <v>#REF!</v>
      </c>
      <c r="C48" s="41">
        <f>'uM (final) '!U48</f>
        <v>1.9966955060247159E-2</v>
      </c>
      <c r="D48" s="40" t="e">
        <f>'uM (final) '!#REF!</f>
        <v>#REF!</v>
      </c>
      <c r="E48" s="41">
        <f>'uM (final) '!V48</f>
        <v>0.14235027125843308</v>
      </c>
      <c r="F48" s="41" t="e">
        <f>'uM (final) '!#REF!</f>
        <v>#REF!</v>
      </c>
      <c r="G48" s="41">
        <f>'uM (final) '!W48</f>
        <v>8.2334054388844997</v>
      </c>
      <c r="H48" s="41">
        <f>'uM (final) '!X48</f>
        <v>0.28432844779112065</v>
      </c>
      <c r="I48" s="41">
        <f>'uM (final) '!Y48</f>
        <v>5.2871826182106929</v>
      </c>
      <c r="J48" s="41">
        <f>'uM (final) '!Z48</f>
        <v>30.140167144881755</v>
      </c>
      <c r="K48" s="42">
        <f>'uM (final) '!AA48</f>
        <v>0.94592260878717727</v>
      </c>
      <c r="L48" s="43">
        <v>56663816.082102403</v>
      </c>
      <c r="M48" s="41">
        <v>32649228.5001227</v>
      </c>
      <c r="N48" s="41">
        <v>8730164.2657754198</v>
      </c>
      <c r="O48" s="41">
        <v>9520028.8532514796</v>
      </c>
      <c r="P48" s="41">
        <v>1059545.4700269599</v>
      </c>
      <c r="Q48" s="42">
        <v>1146729.2141690999</v>
      </c>
    </row>
    <row r="49" spans="1:17" x14ac:dyDescent="0.2">
      <c r="A49" s="18" t="s">
        <v>66</v>
      </c>
      <c r="B49" s="39" t="e">
        <f>'uM (final) '!#REF!</f>
        <v>#REF!</v>
      </c>
      <c r="C49" s="41">
        <f>'uM (final) '!U49</f>
        <v>1.8018914791878563E-2</v>
      </c>
      <c r="D49" s="40" t="e">
        <f>'uM (final) '!#REF!</f>
        <v>#REF!</v>
      </c>
      <c r="E49" s="41">
        <f>'uM (final) '!V49</f>
        <v>0.12551568274219319</v>
      </c>
      <c r="F49" s="41" t="e">
        <f>'uM (final) '!#REF!</f>
        <v>#REF!</v>
      </c>
      <c r="G49" s="41">
        <f>'uM (final) '!W49</f>
        <v>7.1519458272948579</v>
      </c>
      <c r="H49" s="41">
        <f>'uM (final) '!X49</f>
        <v>0.23794062098752458</v>
      </c>
      <c r="I49" s="41">
        <f>'uM (final) '!Y49</f>
        <v>5.1815688636174571</v>
      </c>
      <c r="J49" s="41">
        <f>'uM (final) '!Z49</f>
        <v>29.983714149459246</v>
      </c>
      <c r="K49" s="42">
        <f>'uM (final) '!AA49</f>
        <v>0.85426465345202574</v>
      </c>
      <c r="L49" s="43">
        <v>35922125.625345498</v>
      </c>
      <c r="M49" s="41">
        <v>22996713.336340498</v>
      </c>
      <c r="N49" s="41">
        <v>4084057.7865399201</v>
      </c>
      <c r="O49" s="41">
        <v>8034142.0112109398</v>
      </c>
      <c r="P49" s="41">
        <v>800585.23655728099</v>
      </c>
      <c r="Q49" s="42">
        <v>1113946.00008763</v>
      </c>
    </row>
    <row r="50" spans="1:17" x14ac:dyDescent="0.2">
      <c r="A50" s="18" t="s">
        <v>67</v>
      </c>
      <c r="B50" s="39" t="e">
        <f>'uM (final) '!#REF!</f>
        <v>#REF!</v>
      </c>
      <c r="C50" s="41">
        <f>'uM (final) '!U50</f>
        <v>1.9034309043363711E-2</v>
      </c>
      <c r="D50" s="40" t="e">
        <f>'uM (final) '!#REF!</f>
        <v>#REF!</v>
      </c>
      <c r="E50" s="41">
        <f>'uM (final) '!V50</f>
        <v>0.13745954586257758</v>
      </c>
      <c r="F50" s="41" t="e">
        <f>'uM (final) '!#REF!</f>
        <v>#REF!</v>
      </c>
      <c r="G50" s="41">
        <f>'uM (final) '!W50</f>
        <v>6.835031095297011</v>
      </c>
      <c r="H50" s="41">
        <f>'uM (final) '!X50</f>
        <v>0.26185140257965639</v>
      </c>
      <c r="I50" s="41">
        <f>'uM (final) '!Y50</f>
        <v>4.4525488663531139</v>
      </c>
      <c r="J50" s="41">
        <f>'uM (final) '!Z50</f>
        <v>27.010981119880228</v>
      </c>
      <c r="K50" s="42">
        <f>'uM (final) '!AA50</f>
        <v>0.89313438388831468</v>
      </c>
      <c r="L50" s="43">
        <v>48586524.220381998</v>
      </c>
      <c r="M50" s="41">
        <v>28184082.5466947</v>
      </c>
      <c r="N50" s="41">
        <v>5431992.1338069504</v>
      </c>
      <c r="O50" s="41">
        <v>8802698.6832430493</v>
      </c>
      <c r="P50" s="41">
        <v>808703.54998351203</v>
      </c>
      <c r="Q50" s="42">
        <v>1095934.6455540201</v>
      </c>
    </row>
    <row r="51" spans="1:17" ht="14.25" customHeight="1" x14ac:dyDescent="0.2">
      <c r="A51" s="18" t="s">
        <v>68</v>
      </c>
      <c r="B51" s="39" t="e">
        <f>'uM (final) '!#REF!</f>
        <v>#REF!</v>
      </c>
      <c r="C51" s="40">
        <f>'uM (final) '!U51</f>
        <v>5.6812870158764149E-2</v>
      </c>
      <c r="D51" s="40" t="e">
        <f>'uM (final) '!#REF!</f>
        <v>#REF!</v>
      </c>
      <c r="E51" s="40">
        <f>'uM (final) '!V51</f>
        <v>5.6194924547359804E-2</v>
      </c>
      <c r="F51" s="40" t="e">
        <f>'uM (final) '!#REF!</f>
        <v>#REF!</v>
      </c>
      <c r="G51" s="40">
        <f>'uM (final) '!W51</f>
        <v>2.1354066497828408E-2</v>
      </c>
      <c r="H51" s="40">
        <f>'uM (final) '!X51</f>
        <v>0.92069000746268481</v>
      </c>
      <c r="I51" s="40">
        <f>'uM (final) '!Y51</f>
        <v>0.11383941194292056</v>
      </c>
      <c r="J51" s="40">
        <f>'uM (final) '!Z51</f>
        <v>6.1904667394989149E-2</v>
      </c>
      <c r="K51" s="44">
        <f>'uM (final) '!AA51</f>
        <v>9.1175222921851165E-2</v>
      </c>
      <c r="L51" s="43">
        <v>204201639.08664</v>
      </c>
      <c r="M51" s="41">
        <v>499664326.946854</v>
      </c>
      <c r="N51" s="41">
        <v>3974734.2194124698</v>
      </c>
      <c r="O51" s="40">
        <v>0</v>
      </c>
      <c r="P51" s="40">
        <v>0</v>
      </c>
      <c r="Q51" s="44">
        <v>0</v>
      </c>
    </row>
    <row r="52" spans="1:17" x14ac:dyDescent="0.2">
      <c r="A52" s="18" t="s">
        <v>69</v>
      </c>
      <c r="B52" s="39" t="e">
        <f>'uM (final) '!#REF!</f>
        <v>#REF!</v>
      </c>
      <c r="C52" s="40">
        <f>'uM (final) '!U52</f>
        <v>5.697429695855119E-2</v>
      </c>
      <c r="D52" s="40" t="e">
        <f>'uM (final) '!#REF!</f>
        <v>#REF!</v>
      </c>
      <c r="E52" s="40">
        <f>'uM (final) '!V52</f>
        <v>5.6194924547359804E-2</v>
      </c>
      <c r="F52" s="40" t="e">
        <f>'uM (final) '!#REF!</f>
        <v>#REF!</v>
      </c>
      <c r="G52" s="40">
        <f>'uM (final) '!W52</f>
        <v>2.1354066497828408E-2</v>
      </c>
      <c r="H52" s="40">
        <f>'uM (final) '!X52</f>
        <v>0.92069000746268481</v>
      </c>
      <c r="I52" s="40">
        <f>'uM (final) '!Y52</f>
        <v>0.11387095590738043</v>
      </c>
      <c r="J52" s="40">
        <f>'uM (final) '!Z52</f>
        <v>6.1798038105156362E-2</v>
      </c>
      <c r="K52" s="44">
        <f>'uM (final) '!AA52</f>
        <v>9.0880029215020558E-2</v>
      </c>
      <c r="L52" s="43">
        <v>214734640.84603399</v>
      </c>
      <c r="M52" s="41">
        <v>581286934.26025796</v>
      </c>
      <c r="N52" s="41">
        <v>4447746.6935854303</v>
      </c>
      <c r="O52" s="40">
        <v>0</v>
      </c>
      <c r="P52" s="40">
        <v>0</v>
      </c>
      <c r="Q52" s="44">
        <v>1234.010486379</v>
      </c>
    </row>
    <row r="53" spans="1:17" x14ac:dyDescent="0.2">
      <c r="A53" s="18" t="s">
        <v>70</v>
      </c>
      <c r="B53" s="39" t="e">
        <f>'uM (final) '!#REF!</f>
        <v>#REF!</v>
      </c>
      <c r="C53" s="40">
        <f>'uM (final) '!U53</f>
        <v>5.6250614360563882E-2</v>
      </c>
      <c r="D53" s="40" t="e">
        <f>'uM (final) '!#REF!</f>
        <v>#REF!</v>
      </c>
      <c r="E53" s="40">
        <f>'uM (final) '!V53</f>
        <v>5.6194924547359804E-2</v>
      </c>
      <c r="F53" s="40" t="e">
        <f>'uM (final) '!#REF!</f>
        <v>#REF!</v>
      </c>
      <c r="G53" s="40">
        <f>'uM (final) '!W53</f>
        <v>2.1354066497828408E-2</v>
      </c>
      <c r="H53" s="40">
        <f>'uM (final) '!X53</f>
        <v>0.92069000746268481</v>
      </c>
      <c r="I53" s="40">
        <f>'uM (final) '!Y53</f>
        <v>0.11376120736113564</v>
      </c>
      <c r="J53" s="40">
        <f>'uM (final) '!Z53</f>
        <v>6.2284868684041123E-2</v>
      </c>
      <c r="K53" s="44">
        <f>'uM (final) '!AA53</f>
        <v>9.1586544489521818E-2</v>
      </c>
      <c r="L53" s="43">
        <v>103674435.39576399</v>
      </c>
      <c r="M53" s="41">
        <v>342733537.64142799</v>
      </c>
      <c r="N53" s="41">
        <v>2168142.4467864502</v>
      </c>
      <c r="O53" s="40">
        <v>0</v>
      </c>
      <c r="P53" s="40">
        <v>0</v>
      </c>
      <c r="Q53" s="44">
        <v>0</v>
      </c>
    </row>
    <row r="54" spans="1:17" x14ac:dyDescent="0.2">
      <c r="A54" s="18" t="s">
        <v>71</v>
      </c>
      <c r="B54" s="39" t="e">
        <f>'uM (final) '!#REF!</f>
        <v>#REF!</v>
      </c>
      <c r="C54" s="40">
        <f>'uM (final) '!U54</f>
        <v>5.7022925579994652E-2</v>
      </c>
      <c r="D54" s="40" t="e">
        <f>'uM (final) '!#REF!</f>
        <v>#REF!</v>
      </c>
      <c r="E54" s="40">
        <f>'uM (final) '!V54</f>
        <v>5.6194924547359804E-2</v>
      </c>
      <c r="F54" s="40" t="e">
        <f>'uM (final) '!#REF!</f>
        <v>#REF!</v>
      </c>
      <c r="G54" s="40">
        <f>'uM (final) '!W54</f>
        <v>2.1354066497828408E-2</v>
      </c>
      <c r="H54" s="40">
        <f>'uM (final) '!X54</f>
        <v>0.92069000746268481</v>
      </c>
      <c r="I54" s="40">
        <f>'uM (final) '!Y54</f>
        <v>0.11362840495425683</v>
      </c>
      <c r="J54" s="40">
        <f>'uM (final) '!Z54</f>
        <v>6.1996935791642019E-2</v>
      </c>
      <c r="K54" s="44">
        <f>'uM (final) '!AA54</f>
        <v>9.1075938367845152E-2</v>
      </c>
      <c r="L54" s="43">
        <v>2590849.8004232598</v>
      </c>
      <c r="M54" s="41">
        <v>1080779.47350132</v>
      </c>
      <c r="N54" s="40">
        <v>0</v>
      </c>
      <c r="O54" s="40">
        <v>0</v>
      </c>
      <c r="P54" s="40">
        <v>0</v>
      </c>
      <c r="Q54" s="44">
        <v>0</v>
      </c>
    </row>
    <row r="55" spans="1:17" x14ac:dyDescent="0.2">
      <c r="A55" s="18" t="s">
        <v>72</v>
      </c>
      <c r="B55" s="39" t="e">
        <f>'uM (final) '!#REF!</f>
        <v>#REF!</v>
      </c>
      <c r="C55" s="40">
        <f>'uM (final) '!U55</f>
        <v>5.690884035140599E-2</v>
      </c>
      <c r="D55" s="40" t="e">
        <f>'uM (final) '!#REF!</f>
        <v>#REF!</v>
      </c>
      <c r="E55" s="40">
        <f>'uM (final) '!V55</f>
        <v>5.6194924547359804E-2</v>
      </c>
      <c r="F55" s="40" t="e">
        <f>'uM (final) '!#REF!</f>
        <v>#REF!</v>
      </c>
      <c r="G55" s="40">
        <f>'uM (final) '!W55</f>
        <v>2.1354066497828408E-2</v>
      </c>
      <c r="H55" s="40">
        <f>'uM (final) '!X55</f>
        <v>0.92069000746268481</v>
      </c>
      <c r="I55" s="40">
        <f>'uM (final) '!Y55</f>
        <v>0.11374127896881935</v>
      </c>
      <c r="J55" s="40">
        <f>'uM (final) '!Z55</f>
        <v>6.3122507812567938E-2</v>
      </c>
      <c r="K55" s="44">
        <f>'uM (final) '!AA55</f>
        <v>9.174843903351472E-2</v>
      </c>
      <c r="L55" s="43">
        <v>2398577.5741173001</v>
      </c>
      <c r="M55" s="41">
        <v>1039782.86615349</v>
      </c>
      <c r="N55" s="40">
        <v>0</v>
      </c>
      <c r="O55" s="40">
        <v>0</v>
      </c>
      <c r="P55" s="40">
        <v>0</v>
      </c>
      <c r="Q55" s="44">
        <v>0</v>
      </c>
    </row>
    <row r="56" spans="1:17" x14ac:dyDescent="0.2">
      <c r="A56" s="18" t="s">
        <v>73</v>
      </c>
      <c r="B56" s="39" t="e">
        <f>'uM (final) '!#REF!</f>
        <v>#REF!</v>
      </c>
      <c r="C56" s="40">
        <f>'uM (final) '!U56</f>
        <v>5.684116943426458E-2</v>
      </c>
      <c r="D56" s="40" t="e">
        <f>'uM (final) '!#REF!</f>
        <v>#REF!</v>
      </c>
      <c r="E56" s="40">
        <f>'uM (final) '!V56</f>
        <v>5.6194924547359804E-2</v>
      </c>
      <c r="F56" s="40" t="e">
        <f>'uM (final) '!#REF!</f>
        <v>#REF!</v>
      </c>
      <c r="G56" s="40">
        <f>'uM (final) '!W56</f>
        <v>2.1354066497828408E-2</v>
      </c>
      <c r="H56" s="40">
        <f>'uM (final) '!X56</f>
        <v>0.92069000746268481</v>
      </c>
      <c r="I56" s="40">
        <f>'uM (final) '!Y56</f>
        <v>0.11377971266334612</v>
      </c>
      <c r="J56" s="40">
        <f>'uM (final) '!Z56</f>
        <v>6.2679177222438834E-2</v>
      </c>
      <c r="K56" s="44">
        <f>'uM (final) '!AA56</f>
        <v>9.0940359802724677E-2</v>
      </c>
      <c r="L56" s="43">
        <v>2519326.8444785201</v>
      </c>
      <c r="M56" s="41">
        <v>859774.42067138897</v>
      </c>
      <c r="N56" s="40">
        <v>0</v>
      </c>
      <c r="O56" s="40">
        <v>0</v>
      </c>
      <c r="P56" s="40">
        <v>0</v>
      </c>
      <c r="Q56" s="44">
        <v>1160.6536667826399</v>
      </c>
    </row>
    <row r="57" spans="1:17" x14ac:dyDescent="0.2">
      <c r="A57" s="18" t="s">
        <v>74</v>
      </c>
      <c r="B57" s="39" t="e">
        <f>'uM (final) '!#REF!</f>
        <v>#REF!</v>
      </c>
      <c r="C57" s="40">
        <f>'uM (final) '!U57</f>
        <v>5.7134718935838762E-2</v>
      </c>
      <c r="D57" s="40" t="e">
        <f>'uM (final) '!#REF!</f>
        <v>#REF!</v>
      </c>
      <c r="E57" s="40">
        <f>'uM (final) '!V57</f>
        <v>5.6194924547359804E-2</v>
      </c>
      <c r="F57" s="40" t="e">
        <f>'uM (final) '!#REF!</f>
        <v>#REF!</v>
      </c>
      <c r="G57" s="40">
        <f>'uM (final) '!W57</f>
        <v>2.1354066497828408E-2</v>
      </c>
      <c r="H57" s="40">
        <f>'uM (final) '!X57</f>
        <v>0.92069000746268481</v>
      </c>
      <c r="I57" s="40">
        <f>'uM (final) '!Y57</f>
        <v>0.11363739474491438</v>
      </c>
      <c r="J57" s="40">
        <f>'uM (final) '!Z57</f>
        <v>7.1689847312776458E-2</v>
      </c>
      <c r="K57" s="44">
        <f>'uM (final) '!AA57</f>
        <v>9.0837889623294393E-2</v>
      </c>
      <c r="L57" s="43">
        <v>202740532.28472</v>
      </c>
      <c r="M57" s="41">
        <v>733273.87217140303</v>
      </c>
      <c r="N57" s="41">
        <v>7003631.9744069995</v>
      </c>
      <c r="O57" s="40">
        <v>0</v>
      </c>
      <c r="P57" s="40">
        <v>0</v>
      </c>
      <c r="Q57" s="44">
        <v>0</v>
      </c>
    </row>
    <row r="58" spans="1:17" x14ac:dyDescent="0.2">
      <c r="A58" s="18" t="s">
        <v>75</v>
      </c>
      <c r="B58" s="39" t="e">
        <f>'uM (final) '!#REF!</f>
        <v>#REF!</v>
      </c>
      <c r="C58" s="40">
        <f>'uM (final) '!U58</f>
        <v>5.7002562422475492E-2</v>
      </c>
      <c r="D58" s="40" t="e">
        <f>'uM (final) '!#REF!</f>
        <v>#REF!</v>
      </c>
      <c r="E58" s="40">
        <f>'uM (final) '!V58</f>
        <v>5.6194924547359804E-2</v>
      </c>
      <c r="F58" s="40" t="e">
        <f>'uM (final) '!#REF!</f>
        <v>#REF!</v>
      </c>
      <c r="G58" s="40">
        <f>'uM (final) '!W58</f>
        <v>2.1354066497828408E-2</v>
      </c>
      <c r="H58" s="40">
        <f>'uM (final) '!X58</f>
        <v>0.92069000746268481</v>
      </c>
      <c r="I58" s="40">
        <f>'uM (final) '!Y58</f>
        <v>0.11498261306023176</v>
      </c>
      <c r="J58" s="40">
        <f>'uM (final) '!Z58</f>
        <v>6.1562980974699144E-2</v>
      </c>
      <c r="K58" s="44">
        <f>'uM (final) '!AA58</f>
        <v>9.1482261336871762E-2</v>
      </c>
      <c r="L58" s="43">
        <v>223360877.17012301</v>
      </c>
      <c r="M58" s="41">
        <v>799873.87869555305</v>
      </c>
      <c r="N58" s="41">
        <v>7278530.42871047</v>
      </c>
      <c r="O58" s="40">
        <v>0</v>
      </c>
      <c r="P58" s="40">
        <v>0</v>
      </c>
      <c r="Q58" s="44">
        <v>0</v>
      </c>
    </row>
    <row r="59" spans="1:17" x14ac:dyDescent="0.2">
      <c r="A59" s="18" t="s">
        <v>76</v>
      </c>
      <c r="B59" s="39" t="e">
        <f>'uM (final) '!#REF!</f>
        <v>#REF!</v>
      </c>
      <c r="C59" s="40">
        <f>'uM (final) '!U59</f>
        <v>5.7195511805122196E-2</v>
      </c>
      <c r="D59" s="40" t="e">
        <f>'uM (final) '!#REF!</f>
        <v>#REF!</v>
      </c>
      <c r="E59" s="40">
        <f>'uM (final) '!V59</f>
        <v>5.6194924547359804E-2</v>
      </c>
      <c r="F59" s="40" t="e">
        <f>'uM (final) '!#REF!</f>
        <v>#REF!</v>
      </c>
      <c r="G59" s="40">
        <f>'uM (final) '!W59</f>
        <v>2.1354066497828408E-2</v>
      </c>
      <c r="H59" s="40">
        <f>'uM (final) '!X59</f>
        <v>0.95196757350909322</v>
      </c>
      <c r="I59" s="40">
        <f>'uM (final) '!Y59</f>
        <v>0.11349213648143693</v>
      </c>
      <c r="J59" s="40">
        <f>'uM (final) '!Z59</f>
        <v>0.1737664377469349</v>
      </c>
      <c r="K59" s="44">
        <f>'uM (final) '!AA59</f>
        <v>9.2989332496059077E-2</v>
      </c>
      <c r="L59" s="43">
        <v>252930243.079014</v>
      </c>
      <c r="M59" s="41">
        <v>574352.93482560595</v>
      </c>
      <c r="N59" s="41">
        <v>11774330.740718899</v>
      </c>
      <c r="O59" s="40">
        <v>0</v>
      </c>
      <c r="P59" s="40">
        <v>882.261773491285</v>
      </c>
      <c r="Q59" s="44">
        <v>2447.0938230336901</v>
      </c>
    </row>
    <row r="60" spans="1:17" x14ac:dyDescent="0.2">
      <c r="A60" s="18" t="s">
        <v>77</v>
      </c>
      <c r="B60" s="39" t="e">
        <f>'uM (final) '!#REF!</f>
        <v>#REF!</v>
      </c>
      <c r="C60" s="40">
        <f>'uM (final) '!U60</f>
        <v>5.6821245115508623E-2</v>
      </c>
      <c r="D60" s="40" t="e">
        <f>'uM (final) '!#REF!</f>
        <v>#REF!</v>
      </c>
      <c r="E60" s="40">
        <f>'uM (final) '!V60</f>
        <v>5.6194924547359804E-2</v>
      </c>
      <c r="F60" s="40" t="e">
        <f>'uM (final) '!#REF!</f>
        <v>#REF!</v>
      </c>
      <c r="G60" s="40">
        <f>'uM (final) '!W60</f>
        <v>2.1354066497828408E-2</v>
      </c>
      <c r="H60" s="40">
        <f>'uM (final) '!X60</f>
        <v>0.92069000746268481</v>
      </c>
      <c r="I60" s="40">
        <f>'uM (final) '!Y60</f>
        <v>0.11396753195879589</v>
      </c>
      <c r="J60" s="40">
        <f>'uM (final) '!Z60</f>
        <v>6.2321712233131543E-2</v>
      </c>
      <c r="K60" s="44">
        <f>'uM (final) '!AA60</f>
        <v>9.3196714408975284E-2</v>
      </c>
      <c r="L60" s="43">
        <v>88517435.571978301</v>
      </c>
      <c r="M60" s="41">
        <v>1172841700.89171</v>
      </c>
      <c r="N60" s="41">
        <v>42434029.160944402</v>
      </c>
      <c r="O60" s="40">
        <v>0</v>
      </c>
      <c r="P60" s="40">
        <v>0</v>
      </c>
      <c r="Q60" s="44">
        <v>0</v>
      </c>
    </row>
    <row r="61" spans="1:17" x14ac:dyDescent="0.2">
      <c r="A61" s="18" t="s">
        <v>78</v>
      </c>
      <c r="B61" s="39" t="e">
        <f>'uM (final) '!#REF!</f>
        <v>#REF!</v>
      </c>
      <c r="C61" s="40">
        <f>'uM (final) '!U61</f>
        <v>5.6905574184265027E-2</v>
      </c>
      <c r="D61" s="40" t="e">
        <f>'uM (final) '!#REF!</f>
        <v>#REF!</v>
      </c>
      <c r="E61" s="40">
        <f>'uM (final) '!V61</f>
        <v>5.6194924547359804E-2</v>
      </c>
      <c r="F61" s="40" t="e">
        <f>'uM (final) '!#REF!</f>
        <v>#REF!</v>
      </c>
      <c r="G61" s="40">
        <f>'uM (final) '!W61</f>
        <v>2.1354066497828408E-2</v>
      </c>
      <c r="H61" s="40">
        <f>'uM (final) '!X61</f>
        <v>0.92069000746268481</v>
      </c>
      <c r="I61" s="40">
        <f>'uM (final) '!Y61</f>
        <v>0.11365332925938114</v>
      </c>
      <c r="J61" s="40">
        <f>'uM (final) '!Z61</f>
        <v>6.1734905060280981E-2</v>
      </c>
      <c r="K61" s="44">
        <f>'uM (final) '!AA61</f>
        <v>9.1017858059750559E-2</v>
      </c>
      <c r="L61" s="43">
        <v>77344078.582999706</v>
      </c>
      <c r="M61" s="41">
        <v>723797972.94532597</v>
      </c>
      <c r="N61" s="41">
        <v>32836730.283258699</v>
      </c>
      <c r="O61" s="40">
        <v>0</v>
      </c>
      <c r="P61" s="40">
        <v>0</v>
      </c>
      <c r="Q61" s="44">
        <v>1389.08161674911</v>
      </c>
    </row>
    <row r="62" spans="1:17" x14ac:dyDescent="0.2">
      <c r="A62" s="18" t="s">
        <v>79</v>
      </c>
      <c r="B62" s="39" t="e">
        <f>'uM (final) '!#REF!</f>
        <v>#REF!</v>
      </c>
      <c r="C62" s="40">
        <f>'uM (final) '!U62</f>
        <v>5.672886704983527E-2</v>
      </c>
      <c r="D62" s="40" t="e">
        <f>'uM (final) '!#REF!</f>
        <v>#REF!</v>
      </c>
      <c r="E62" s="40">
        <f>'uM (final) '!V62</f>
        <v>5.6194924547359804E-2</v>
      </c>
      <c r="F62" s="40" t="e">
        <f>'uM (final) '!#REF!</f>
        <v>#REF!</v>
      </c>
      <c r="G62" s="40">
        <f>'uM (final) '!W62</f>
        <v>2.1354066497828408E-2</v>
      </c>
      <c r="H62" s="40">
        <f>'uM (final) '!X62</f>
        <v>0.92069000746268481</v>
      </c>
      <c r="I62" s="40">
        <f>'uM (final) '!Y62</f>
        <v>0.11403299324426562</v>
      </c>
      <c r="J62" s="40">
        <f>'uM (final) '!Z62</f>
        <v>6.1752065192363891E-2</v>
      </c>
      <c r="K62" s="44">
        <f>'uM (final) '!AA62</f>
        <v>9.103968229622296E-2</v>
      </c>
      <c r="L62" s="43">
        <v>73850120.848759994</v>
      </c>
      <c r="M62" s="41">
        <v>543114961.92724097</v>
      </c>
      <c r="N62" s="41">
        <v>29249388.086325601</v>
      </c>
      <c r="O62" s="40">
        <v>0</v>
      </c>
      <c r="P62" s="40">
        <v>0</v>
      </c>
      <c r="Q62" s="44">
        <v>2025.23725242098</v>
      </c>
    </row>
    <row r="63" spans="1:17" x14ac:dyDescent="0.2">
      <c r="A63" s="18" t="s">
        <v>80</v>
      </c>
      <c r="B63" s="39" t="e">
        <f>'uM (final) '!#REF!</f>
        <v>#REF!</v>
      </c>
      <c r="C63" s="40">
        <f>'uM (final) '!U63</f>
        <v>5.6776745479257831E-2</v>
      </c>
      <c r="D63" s="40" t="e">
        <f>'uM (final) '!#REF!</f>
        <v>#REF!</v>
      </c>
      <c r="E63" s="40">
        <f>'uM (final) '!V63</f>
        <v>5.6194924547359804E-2</v>
      </c>
      <c r="F63" s="40" t="e">
        <f>'uM (final) '!#REF!</f>
        <v>#REF!</v>
      </c>
      <c r="G63" s="40">
        <f>'uM (final) '!W63</f>
        <v>2.1354066497828408E-2</v>
      </c>
      <c r="H63" s="40">
        <f>'uM (final) '!X63</f>
        <v>0.92069000746268481</v>
      </c>
      <c r="I63" s="40">
        <f>'uM (final) '!Y63</f>
        <v>0.11406304044723432</v>
      </c>
      <c r="J63" s="40">
        <f>'uM (final) '!Z63</f>
        <v>6.1880092583403226E-2</v>
      </c>
      <c r="K63" s="44">
        <f>'uM (final) '!AA63</f>
        <v>9.1709726680528361E-2</v>
      </c>
      <c r="L63" s="43">
        <v>296322408.27734798</v>
      </c>
      <c r="M63" s="41">
        <v>1173125453.1896701</v>
      </c>
      <c r="N63" s="41">
        <v>6753019.73335231</v>
      </c>
      <c r="O63" s="40">
        <v>0</v>
      </c>
      <c r="P63" s="40">
        <v>0</v>
      </c>
      <c r="Q63" s="44">
        <v>1189.79045610413</v>
      </c>
    </row>
    <row r="64" spans="1:17" x14ac:dyDescent="0.2">
      <c r="A64" s="18" t="s">
        <v>81</v>
      </c>
      <c r="B64" s="39" t="e">
        <f>'uM (final) '!#REF!</f>
        <v>#REF!</v>
      </c>
      <c r="C64" s="40">
        <f>'uM (final) '!U64</f>
        <v>5.7342957532667278E-2</v>
      </c>
      <c r="D64" s="40" t="e">
        <f>'uM (final) '!#REF!</f>
        <v>#REF!</v>
      </c>
      <c r="E64" s="40">
        <f>'uM (final) '!V64</f>
        <v>5.6194924547359804E-2</v>
      </c>
      <c r="F64" s="40" t="e">
        <f>'uM (final) '!#REF!</f>
        <v>#REF!</v>
      </c>
      <c r="G64" s="40">
        <f>'uM (final) '!W64</f>
        <v>2.1354066497828408E-2</v>
      </c>
      <c r="H64" s="40">
        <f>'uM (final) '!X64</f>
        <v>0.92069000746268481</v>
      </c>
      <c r="I64" s="40">
        <f>'uM (final) '!Y64</f>
        <v>0.11391789413761463</v>
      </c>
      <c r="J64" s="40">
        <f>'uM (final) '!Z64</f>
        <v>6.5155547866161387E-2</v>
      </c>
      <c r="K64" s="44">
        <f>'uM (final) '!AA64</f>
        <v>9.2421380976425493E-2</v>
      </c>
      <c r="L64" s="43">
        <v>271627140.125359</v>
      </c>
      <c r="M64" s="41">
        <v>756928485.69245398</v>
      </c>
      <c r="N64" s="41">
        <v>5862913.7649321798</v>
      </c>
      <c r="O64" s="40">
        <v>0</v>
      </c>
      <c r="P64" s="40">
        <v>0</v>
      </c>
      <c r="Q64" s="44">
        <v>0</v>
      </c>
    </row>
    <row r="65" spans="1:17" x14ac:dyDescent="0.2">
      <c r="A65" s="18" t="s">
        <v>82</v>
      </c>
      <c r="B65" s="39" t="e">
        <f>'uM (final) '!#REF!</f>
        <v>#REF!</v>
      </c>
      <c r="C65" s="40">
        <f>'uM (final) '!U65</f>
        <v>5.7254181503524189E-2</v>
      </c>
      <c r="D65" s="40" t="e">
        <f>'uM (final) '!#REF!</f>
        <v>#REF!</v>
      </c>
      <c r="E65" s="40">
        <f>'uM (final) '!V65</f>
        <v>5.6194924547359804E-2</v>
      </c>
      <c r="F65" s="40" t="e">
        <f>'uM (final) '!#REF!</f>
        <v>#REF!</v>
      </c>
      <c r="G65" s="40">
        <f>'uM (final) '!W65</f>
        <v>2.1354066497828408E-2</v>
      </c>
      <c r="H65" s="40">
        <f>'uM (final) '!X65</f>
        <v>0.92069000746268481</v>
      </c>
      <c r="I65" s="40">
        <f>'uM (final) '!Y65</f>
        <v>0.11425005870024926</v>
      </c>
      <c r="J65" s="40">
        <f>'uM (final) '!Z65</f>
        <v>6.3654613598290846E-2</v>
      </c>
      <c r="K65" s="44">
        <f>'uM (final) '!AA65</f>
        <v>9.0896301727736911E-2</v>
      </c>
      <c r="L65" s="43">
        <v>256099126.36786699</v>
      </c>
      <c r="M65" s="41">
        <v>610744910.38221204</v>
      </c>
      <c r="N65" s="41">
        <v>6068228.8383052703</v>
      </c>
      <c r="O65" s="40">
        <v>0</v>
      </c>
      <c r="P65" s="40">
        <v>0</v>
      </c>
      <c r="Q65" s="44">
        <v>0</v>
      </c>
    </row>
    <row r="66" spans="1:17" x14ac:dyDescent="0.2">
      <c r="A66" s="18" t="s">
        <v>83</v>
      </c>
      <c r="B66" s="39" t="e">
        <f>'uM (final) '!#REF!</f>
        <v>#REF!</v>
      </c>
      <c r="C66" s="40">
        <f>'uM (final) '!U66</f>
        <v>5.6894019762967589E-2</v>
      </c>
      <c r="D66" s="40" t="e">
        <f>'uM (final) '!#REF!</f>
        <v>#REF!</v>
      </c>
      <c r="E66" s="40">
        <f>'uM (final) '!V66</f>
        <v>5.6194924547359804E-2</v>
      </c>
      <c r="F66" s="40" t="e">
        <f>'uM (final) '!#REF!</f>
        <v>#REF!</v>
      </c>
      <c r="G66" s="40">
        <f>'uM (final) '!W66</f>
        <v>2.1354066497828408E-2</v>
      </c>
      <c r="H66" s="40">
        <f>'uM (final) '!X66</f>
        <v>0.92069000746268481</v>
      </c>
      <c r="I66" s="40">
        <f>'uM (final) '!Y66</f>
        <v>0.11414932624093396</v>
      </c>
      <c r="J66" s="40">
        <f>'uM (final) '!Z66</f>
        <v>6.6333188416395378E-2</v>
      </c>
      <c r="K66" s="44">
        <f>'uM (final) '!AA66</f>
        <v>9.4272387768466054E-2</v>
      </c>
      <c r="L66" s="43">
        <v>2475007.38240678</v>
      </c>
      <c r="M66" s="41">
        <v>927800.458709714</v>
      </c>
      <c r="N66" s="40">
        <v>0</v>
      </c>
      <c r="O66" s="40">
        <v>0</v>
      </c>
      <c r="P66" s="40">
        <v>0</v>
      </c>
      <c r="Q66" s="44">
        <v>1125.6326280487301</v>
      </c>
    </row>
    <row r="67" spans="1:17" x14ac:dyDescent="0.2">
      <c r="A67" s="18" t="s">
        <v>84</v>
      </c>
      <c r="B67" s="39" t="e">
        <f>'uM (final) '!#REF!</f>
        <v>#REF!</v>
      </c>
      <c r="C67" s="40">
        <f>'uM (final) '!U67</f>
        <v>5.7158862855264503E-2</v>
      </c>
      <c r="D67" s="40" t="e">
        <f>'uM (final) '!#REF!</f>
        <v>#REF!</v>
      </c>
      <c r="E67" s="40">
        <f>'uM (final) '!V67</f>
        <v>5.6194924547359804E-2</v>
      </c>
      <c r="F67" s="40" t="e">
        <f>'uM (final) '!#REF!</f>
        <v>#REF!</v>
      </c>
      <c r="G67" s="40">
        <f>'uM (final) '!W67</f>
        <v>2.1354066497828408E-2</v>
      </c>
      <c r="H67" s="40">
        <f>'uM (final) '!X67</f>
        <v>0.92069000746268481</v>
      </c>
      <c r="I67" s="40">
        <f>'uM (final) '!Y67</f>
        <v>0.1146135647339156</v>
      </c>
      <c r="J67" s="40">
        <f>'uM (final) '!Z67</f>
        <v>6.4159274343605105E-2</v>
      </c>
      <c r="K67" s="44">
        <f>'uM (final) '!AA67</f>
        <v>9.0893827599332927E-2</v>
      </c>
      <c r="L67" s="43">
        <v>2477118.5832760301</v>
      </c>
      <c r="M67" s="41">
        <v>875120.57656881504</v>
      </c>
      <c r="N67" s="40">
        <v>0</v>
      </c>
      <c r="O67" s="40">
        <v>0</v>
      </c>
      <c r="P67" s="40">
        <v>0</v>
      </c>
      <c r="Q67" s="44">
        <v>0</v>
      </c>
    </row>
    <row r="68" spans="1:17" x14ac:dyDescent="0.2">
      <c r="A68" s="18" t="s">
        <v>85</v>
      </c>
      <c r="B68" s="39" t="e">
        <f>'uM (final) '!#REF!</f>
        <v>#REF!</v>
      </c>
      <c r="C68" s="40">
        <f>'uM (final) '!U68</f>
        <v>5.6895175139773824E-2</v>
      </c>
      <c r="D68" s="40" t="e">
        <f>'uM (final) '!#REF!</f>
        <v>#REF!</v>
      </c>
      <c r="E68" s="40">
        <f>'uM (final) '!V68</f>
        <v>5.6194924547359804E-2</v>
      </c>
      <c r="F68" s="40" t="e">
        <f>'uM (final) '!#REF!</f>
        <v>#REF!</v>
      </c>
      <c r="G68" s="40">
        <f>'uM (final) '!W68</f>
        <v>2.1354066497828408E-2</v>
      </c>
      <c r="H68" s="40">
        <f>'uM (final) '!X68</f>
        <v>0.92069000746268481</v>
      </c>
      <c r="I68" s="40">
        <f>'uM (final) '!Y68</f>
        <v>0.11376072148561871</v>
      </c>
      <c r="J68" s="40">
        <f>'uM (final) '!Z68</f>
        <v>6.6374960565589586E-2</v>
      </c>
      <c r="K68" s="44">
        <f>'uM (final) '!AA68</f>
        <v>9.2385415008936628E-2</v>
      </c>
      <c r="L68" s="43">
        <v>2293577.3888983699</v>
      </c>
      <c r="M68" s="41">
        <v>755056.10323487897</v>
      </c>
      <c r="N68" s="40">
        <v>0</v>
      </c>
      <c r="O68" s="40">
        <v>0</v>
      </c>
      <c r="P68" s="40">
        <v>0</v>
      </c>
      <c r="Q68" s="44">
        <v>0</v>
      </c>
    </row>
    <row r="69" spans="1:17" x14ac:dyDescent="0.2">
      <c r="A69" s="18" t="s">
        <v>86</v>
      </c>
      <c r="B69" s="39" t="e">
        <f>'uM (final) '!#REF!</f>
        <v>#REF!</v>
      </c>
      <c r="C69" s="40">
        <f>'uM (final) '!U69</f>
        <v>5.711450418149689E-2</v>
      </c>
      <c r="D69" s="40" t="e">
        <f>'uM (final) '!#REF!</f>
        <v>#REF!</v>
      </c>
      <c r="E69" s="40">
        <f>'uM (final) '!V69</f>
        <v>5.6194924547359804E-2</v>
      </c>
      <c r="F69" s="40" t="e">
        <f>'uM (final) '!#REF!</f>
        <v>#REF!</v>
      </c>
      <c r="G69" s="40">
        <f>'uM (final) '!W69</f>
        <v>2.1354066497828408E-2</v>
      </c>
      <c r="H69" s="40">
        <f>'uM (final) '!X69</f>
        <v>0.92069000746268481</v>
      </c>
      <c r="I69" s="40">
        <f>'uM (final) '!Y69</f>
        <v>0.11388715272913699</v>
      </c>
      <c r="J69" s="40">
        <f>'uM (final) '!Z69</f>
        <v>6.4504679236180099E-2</v>
      </c>
      <c r="K69" s="44">
        <f>'uM (final) '!AA69</f>
        <v>9.0883119964257977E-2</v>
      </c>
      <c r="L69" s="43">
        <v>233895484.62781</v>
      </c>
      <c r="M69" s="41">
        <v>442165.01442194899</v>
      </c>
      <c r="N69" s="41">
        <v>8951599.3603095207</v>
      </c>
      <c r="O69" s="40">
        <v>0</v>
      </c>
      <c r="P69" s="40">
        <v>0</v>
      </c>
      <c r="Q69" s="44">
        <v>1126.15366227765</v>
      </c>
    </row>
    <row r="70" spans="1:17" x14ac:dyDescent="0.2">
      <c r="A70" s="18" t="s">
        <v>87</v>
      </c>
      <c r="B70" s="39" t="e">
        <f>'uM (final) '!#REF!</f>
        <v>#REF!</v>
      </c>
      <c r="C70" s="40">
        <f>'uM (final) '!U70</f>
        <v>5.7162053696708931E-2</v>
      </c>
      <c r="D70" s="40" t="e">
        <f>'uM (final) '!#REF!</f>
        <v>#REF!</v>
      </c>
      <c r="E70" s="40">
        <f>'uM (final) '!V70</f>
        <v>5.6194924547359804E-2</v>
      </c>
      <c r="F70" s="40" t="e">
        <f>'uM (final) '!#REF!</f>
        <v>#REF!</v>
      </c>
      <c r="G70" s="40">
        <f>'uM (final) '!W70</f>
        <v>2.1354066497828408E-2</v>
      </c>
      <c r="H70" s="40">
        <f>'uM (final) '!X70</f>
        <v>0.92069000746268481</v>
      </c>
      <c r="I70" s="40">
        <f>'uM (final) '!Y70</f>
        <v>0.11384177543726463</v>
      </c>
      <c r="J70" s="40">
        <f>'uM (final) '!Z70</f>
        <v>6.339347043967529E-2</v>
      </c>
      <c r="K70" s="44">
        <f>'uM (final) '!AA70</f>
        <v>9.1447577180980885E-2</v>
      </c>
      <c r="L70" s="43">
        <v>219306764.72453201</v>
      </c>
      <c r="M70" s="41">
        <v>838295.14100101194</v>
      </c>
      <c r="N70" s="41">
        <v>8900100.3365591597</v>
      </c>
      <c r="O70" s="40">
        <v>0</v>
      </c>
      <c r="P70" s="40">
        <v>0</v>
      </c>
      <c r="Q70" s="44">
        <v>1286.3183775693701</v>
      </c>
    </row>
    <row r="71" spans="1:17" x14ac:dyDescent="0.2">
      <c r="A71" s="18" t="s">
        <v>88</v>
      </c>
      <c r="B71" s="39" t="e">
        <f>'uM (final) '!#REF!</f>
        <v>#REF!</v>
      </c>
      <c r="C71" s="40">
        <f>'uM (final) '!U71</f>
        <v>5.7102733975103181E-2</v>
      </c>
      <c r="D71" s="40" t="e">
        <f>'uM (final) '!#REF!</f>
        <v>#REF!</v>
      </c>
      <c r="E71" s="40">
        <f>'uM (final) '!V71</f>
        <v>5.6194924547359804E-2</v>
      </c>
      <c r="F71" s="40" t="e">
        <f>'uM (final) '!#REF!</f>
        <v>#REF!</v>
      </c>
      <c r="G71" s="40">
        <f>'uM (final) '!W71</f>
        <v>2.1354066497828408E-2</v>
      </c>
      <c r="H71" s="40">
        <f>'uM (final) '!X71</f>
        <v>0.92069000746268481</v>
      </c>
      <c r="I71" s="40">
        <f>'uM (final) '!Y71</f>
        <v>0.11389242796918012</v>
      </c>
      <c r="J71" s="40">
        <f>'uM (final) '!Z71</f>
        <v>6.1750765138264288E-2</v>
      </c>
      <c r="K71" s="44">
        <f>'uM (final) '!AA71</f>
        <v>9.1618786610751735E-2</v>
      </c>
      <c r="L71" s="43">
        <v>256746834.95173299</v>
      </c>
      <c r="M71" s="41">
        <v>710605.64864328399</v>
      </c>
      <c r="N71" s="41">
        <v>8839663.7435426097</v>
      </c>
      <c r="O71" s="40">
        <v>0</v>
      </c>
      <c r="P71" s="40">
        <v>0</v>
      </c>
      <c r="Q71" s="44">
        <v>1283.2368169644601</v>
      </c>
    </row>
    <row r="72" spans="1:17" x14ac:dyDescent="0.2">
      <c r="A72" s="18" t="s">
        <v>89</v>
      </c>
      <c r="B72" s="39" t="e">
        <f>'uM (final) '!#REF!</f>
        <v>#REF!</v>
      </c>
      <c r="C72" s="40">
        <f>'uM (final) '!U72</f>
        <v>5.6839972436060968E-2</v>
      </c>
      <c r="D72" s="40" t="e">
        <f>'uM (final) '!#REF!</f>
        <v>#REF!</v>
      </c>
      <c r="E72" s="40">
        <f>'uM (final) '!V72</f>
        <v>5.6194924547359804E-2</v>
      </c>
      <c r="F72" s="40" t="e">
        <f>'uM (final) '!#REF!</f>
        <v>#REF!</v>
      </c>
      <c r="G72" s="40">
        <f>'uM (final) '!W72</f>
        <v>2.1465542829120891E-2</v>
      </c>
      <c r="H72" s="40">
        <f>'uM (final) '!X72</f>
        <v>0.92069000746268481</v>
      </c>
      <c r="I72" s="40">
        <f>'uM (final) '!Y72</f>
        <v>0.11746280317049303</v>
      </c>
      <c r="J72" s="40">
        <f>'uM (final) '!Z72</f>
        <v>0.10195162955969521</v>
      </c>
      <c r="K72" s="44">
        <f>'uM (final) '!AA72</f>
        <v>9.4135788979368751E-2</v>
      </c>
      <c r="L72" s="43">
        <v>75575684.299948603</v>
      </c>
      <c r="M72" s="41">
        <v>395873958.06886798</v>
      </c>
      <c r="N72" s="41">
        <v>41317270.297263101</v>
      </c>
      <c r="O72" s="40">
        <v>0</v>
      </c>
      <c r="P72" s="40">
        <v>0</v>
      </c>
      <c r="Q72" s="44">
        <v>0</v>
      </c>
    </row>
    <row r="73" spans="1:17" x14ac:dyDescent="0.2">
      <c r="A73" s="18" t="s">
        <v>90</v>
      </c>
      <c r="B73" s="39" t="e">
        <f>'uM (final) '!#REF!</f>
        <v>#REF!</v>
      </c>
      <c r="C73" s="40">
        <f>'uM (final) '!U73</f>
        <v>5.695934134120003E-2</v>
      </c>
      <c r="D73" s="40" t="e">
        <f>'uM (final) '!#REF!</f>
        <v>#REF!</v>
      </c>
      <c r="E73" s="40">
        <f>'uM (final) '!V73</f>
        <v>5.6194924547359804E-2</v>
      </c>
      <c r="F73" s="40" t="e">
        <f>'uM (final) '!#REF!</f>
        <v>#REF!</v>
      </c>
      <c r="G73" s="40">
        <f>'uM (final) '!W73</f>
        <v>2.15847101319952E-2</v>
      </c>
      <c r="H73" s="40">
        <f>'uM (final) '!X73</f>
        <v>0.92069000746268481</v>
      </c>
      <c r="I73" s="40">
        <f>'uM (final) '!Y73</f>
        <v>0.11384063357180418</v>
      </c>
      <c r="J73" s="40">
        <f>'uM (final) '!Z73</f>
        <v>6.4032310107555404E-2</v>
      </c>
      <c r="K73" s="44">
        <f>'uM (final) '!AA73</f>
        <v>9.1450493765753635E-2</v>
      </c>
      <c r="L73" s="43">
        <v>64398859.927354999</v>
      </c>
      <c r="M73" s="41">
        <v>436132862.397506</v>
      </c>
      <c r="N73" s="41">
        <v>30993059.877703</v>
      </c>
      <c r="O73" s="40">
        <v>0</v>
      </c>
      <c r="P73" s="40">
        <v>979.68116613705695</v>
      </c>
      <c r="Q73" s="44">
        <v>1759.0175063381</v>
      </c>
    </row>
    <row r="74" spans="1:17" ht="16" thickBot="1" x14ac:dyDescent="0.25">
      <c r="A74" s="18" t="s">
        <v>91</v>
      </c>
      <c r="B74" s="45" t="e">
        <f>'uM (final) '!#REF!</f>
        <v>#REF!</v>
      </c>
      <c r="C74" s="46">
        <f>'uM (final) '!U74</f>
        <v>5.7166310653822237E-2</v>
      </c>
      <c r="D74" s="46" t="e">
        <f>'uM (final) '!#REF!</f>
        <v>#REF!</v>
      </c>
      <c r="E74" s="46">
        <f>'uM (final) '!V74</f>
        <v>5.6194924547359804E-2</v>
      </c>
      <c r="F74" s="46" t="e">
        <f>'uM (final) '!#REF!</f>
        <v>#REF!</v>
      </c>
      <c r="G74" s="46">
        <f>'uM (final) '!W74</f>
        <v>2.1354066497828408E-2</v>
      </c>
      <c r="H74" s="46">
        <f>'uM (final) '!X74</f>
        <v>0.92069000746268481</v>
      </c>
      <c r="I74" s="46">
        <f>'uM (final) '!Y74</f>
        <v>0.11368458274935686</v>
      </c>
      <c r="J74" s="46">
        <f>'uM (final) '!Z74</f>
        <v>6.1732159001109718E-2</v>
      </c>
      <c r="K74" s="47">
        <f>'uM (final) '!AA74</f>
        <v>9.1238216000026018E-2</v>
      </c>
      <c r="L74" s="48">
        <v>72326191.659027994</v>
      </c>
      <c r="M74" s="49">
        <v>470360367.209216</v>
      </c>
      <c r="N74" s="49">
        <v>33646815.460713603</v>
      </c>
      <c r="O74" s="46">
        <v>0</v>
      </c>
      <c r="P74" s="46">
        <v>0</v>
      </c>
      <c r="Q74" s="47">
        <v>0</v>
      </c>
    </row>
  </sheetData>
  <mergeCells count="2">
    <mergeCell ref="B1:K1"/>
    <mergeCell ref="L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B582-5158-4738-9F8C-4C8EC462F571}">
  <dimension ref="A1:K75"/>
  <sheetViews>
    <sheetView zoomScale="75" zoomScaleNormal="80" workbookViewId="0">
      <selection activeCell="S33" sqref="S33"/>
    </sheetView>
  </sheetViews>
  <sheetFormatPr baseColWidth="10" defaultColWidth="8.83203125" defaultRowHeight="15" x14ac:dyDescent="0.2"/>
  <cols>
    <col min="1" max="1" width="9.83203125" bestFit="1" customWidth="1"/>
    <col min="2" max="2" width="21" bestFit="1" customWidth="1"/>
    <col min="3" max="3" width="16.83203125" bestFit="1" customWidth="1"/>
    <col min="4" max="4" width="14.33203125" bestFit="1" customWidth="1"/>
    <col min="5" max="6" width="14.33203125" customWidth="1"/>
    <col min="7" max="7" width="12.1640625" customWidth="1"/>
    <col min="8" max="8" width="13.33203125" customWidth="1"/>
    <col min="9" max="9" width="12.1640625" customWidth="1"/>
    <col min="10" max="10" width="13.33203125" customWidth="1"/>
    <col min="11" max="11" width="9.1640625" customWidth="1"/>
  </cols>
  <sheetData>
    <row r="1" spans="1:11" ht="26" x14ac:dyDescent="0.3">
      <c r="A1" s="17" t="s">
        <v>1</v>
      </c>
    </row>
    <row r="2" spans="1:11" x14ac:dyDescent="0.2">
      <c r="A2" s="1" t="s">
        <v>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92</v>
      </c>
      <c r="G2" s="1" t="s">
        <v>93</v>
      </c>
      <c r="H2" s="1" t="s">
        <v>17</v>
      </c>
      <c r="I2" s="1" t="s">
        <v>94</v>
      </c>
      <c r="J2" s="1" t="s">
        <v>18</v>
      </c>
      <c r="K2" s="91"/>
    </row>
    <row r="3" spans="1:11" x14ac:dyDescent="0.2">
      <c r="A3" s="1" t="s">
        <v>19</v>
      </c>
      <c r="B3" s="50">
        <v>16659758.735301999</v>
      </c>
      <c r="C3" s="50">
        <v>636057.01956492802</v>
      </c>
      <c r="D3" s="51">
        <v>0</v>
      </c>
      <c r="E3" s="51">
        <v>21191.2924556324</v>
      </c>
      <c r="F3" s="51">
        <v>5797.1893145105996</v>
      </c>
      <c r="G3" s="51">
        <v>111772.93176770701</v>
      </c>
      <c r="H3" s="51">
        <v>23755.616400250899</v>
      </c>
      <c r="I3" s="51">
        <v>0</v>
      </c>
      <c r="J3" s="50">
        <v>0</v>
      </c>
    </row>
    <row r="4" spans="1:11" x14ac:dyDescent="0.2">
      <c r="A4" s="1" t="s">
        <v>21</v>
      </c>
      <c r="B4" s="50">
        <v>17523720.450759701</v>
      </c>
      <c r="C4" s="50">
        <v>811243.27948515804</v>
      </c>
      <c r="D4" s="51">
        <v>0</v>
      </c>
      <c r="E4" s="51">
        <v>61930.217728860902</v>
      </c>
      <c r="F4" s="51">
        <v>38497.198937682901</v>
      </c>
      <c r="G4" s="51">
        <v>97758.374054554297</v>
      </c>
      <c r="H4" s="51">
        <v>22262.8852079594</v>
      </c>
      <c r="I4" s="51">
        <v>0</v>
      </c>
      <c r="J4" s="50">
        <v>0</v>
      </c>
    </row>
    <row r="5" spans="1:11" x14ac:dyDescent="0.2">
      <c r="A5" s="1" t="s">
        <v>23</v>
      </c>
      <c r="B5" s="50">
        <v>19277569.710596301</v>
      </c>
      <c r="C5" s="50">
        <v>1004545.23311107</v>
      </c>
      <c r="D5" s="51">
        <v>4414.9022424367804</v>
      </c>
      <c r="E5" s="51">
        <v>49737.387251143897</v>
      </c>
      <c r="F5" s="51">
        <v>64495.364913422301</v>
      </c>
      <c r="G5" s="51">
        <v>100310.81254498</v>
      </c>
      <c r="H5" s="51">
        <v>27383.156243373</v>
      </c>
      <c r="I5" s="51">
        <v>0</v>
      </c>
      <c r="J5" s="51">
        <v>996.56108532212795</v>
      </c>
    </row>
    <row r="6" spans="1:11" x14ac:dyDescent="0.2">
      <c r="A6" s="1" t="s">
        <v>24</v>
      </c>
      <c r="B6" s="50">
        <v>3598273.1357065099</v>
      </c>
      <c r="C6" s="50">
        <v>206003.080326091</v>
      </c>
      <c r="D6" s="51">
        <v>0</v>
      </c>
      <c r="E6" s="50">
        <v>298466.29866565298</v>
      </c>
      <c r="F6" s="51">
        <v>6649.37346866396</v>
      </c>
      <c r="G6" s="51">
        <v>32193.446874914</v>
      </c>
      <c r="H6" s="51">
        <v>21601.384846709901</v>
      </c>
      <c r="I6" s="51">
        <v>0</v>
      </c>
      <c r="J6" s="51">
        <v>23887.5770705916</v>
      </c>
    </row>
    <row r="7" spans="1:11" x14ac:dyDescent="0.2">
      <c r="A7" s="1" t="s">
        <v>25</v>
      </c>
      <c r="B7" s="50">
        <v>3776005.5816416899</v>
      </c>
      <c r="C7" s="50">
        <v>270496.591986474</v>
      </c>
      <c r="D7" s="51">
        <v>0</v>
      </c>
      <c r="E7" s="50">
        <v>332746.76663775998</v>
      </c>
      <c r="F7" s="51">
        <v>43870.767919815</v>
      </c>
      <c r="G7" s="51">
        <v>46949.2876455148</v>
      </c>
      <c r="H7" s="51">
        <v>41957.672098370997</v>
      </c>
      <c r="I7" s="51">
        <v>0</v>
      </c>
      <c r="J7" s="51">
        <v>37318.400479123797</v>
      </c>
    </row>
    <row r="8" spans="1:11" x14ac:dyDescent="0.2">
      <c r="A8" s="1" t="s">
        <v>26</v>
      </c>
      <c r="B8" s="50">
        <v>3316158.3224190702</v>
      </c>
      <c r="C8" s="50">
        <v>242142.73979003099</v>
      </c>
      <c r="D8" s="51">
        <v>0</v>
      </c>
      <c r="E8" s="50">
        <v>354257.62005997199</v>
      </c>
      <c r="F8" s="51">
        <v>4072.8517470607799</v>
      </c>
      <c r="G8" s="51">
        <v>43420.214847448799</v>
      </c>
      <c r="H8" s="51">
        <v>22038.203745849401</v>
      </c>
      <c r="I8" s="51">
        <v>0</v>
      </c>
      <c r="J8" s="51">
        <v>63092.456013274001</v>
      </c>
    </row>
    <row r="9" spans="1:11" x14ac:dyDescent="0.2">
      <c r="A9" s="1" t="s">
        <v>95</v>
      </c>
      <c r="B9" s="50">
        <v>18287000.602993499</v>
      </c>
      <c r="C9" s="50">
        <v>217237.08891863</v>
      </c>
      <c r="D9" s="51">
        <v>0</v>
      </c>
      <c r="E9" s="50">
        <v>384514.18198906101</v>
      </c>
      <c r="F9" s="51">
        <v>3357.210916555</v>
      </c>
      <c r="G9" s="51">
        <v>38908.554616644498</v>
      </c>
      <c r="H9" s="51">
        <v>26231.474959653999</v>
      </c>
      <c r="I9" s="51">
        <v>0</v>
      </c>
      <c r="J9" s="51">
        <v>64267.632064116398</v>
      </c>
    </row>
    <row r="10" spans="1:11" x14ac:dyDescent="0.2">
      <c r="A10" s="1" t="s">
        <v>27</v>
      </c>
      <c r="B10" s="50">
        <v>21173956.474948701</v>
      </c>
      <c r="C10" s="50">
        <v>463399.36175676598</v>
      </c>
      <c r="D10" s="51">
        <v>0</v>
      </c>
      <c r="E10" s="50">
        <v>404488.47915534797</v>
      </c>
      <c r="F10" s="51">
        <v>8620.4577218918803</v>
      </c>
      <c r="G10" s="51">
        <v>42385.261115650101</v>
      </c>
      <c r="H10" s="51">
        <v>29220.541392913499</v>
      </c>
      <c r="I10" s="51">
        <v>0</v>
      </c>
      <c r="J10" s="51">
        <v>73870.497734713499</v>
      </c>
    </row>
    <row r="11" spans="1:11" x14ac:dyDescent="0.2">
      <c r="A11" s="1" t="s">
        <v>28</v>
      </c>
      <c r="B11" s="50">
        <v>21001154.8572088</v>
      </c>
      <c r="C11" s="50">
        <v>234769.040483355</v>
      </c>
      <c r="D11" s="51">
        <v>2724.1155670243702</v>
      </c>
      <c r="E11" s="50">
        <v>475996.19004546799</v>
      </c>
      <c r="F11" s="51">
        <v>19475.2591135123</v>
      </c>
      <c r="G11" s="51">
        <v>45065.537177633603</v>
      </c>
      <c r="H11" s="51">
        <v>35690.198835699499</v>
      </c>
      <c r="I11" s="51">
        <v>0</v>
      </c>
      <c r="J11" s="51">
        <v>76761.256275462598</v>
      </c>
    </row>
    <row r="12" spans="1:11" x14ac:dyDescent="0.2">
      <c r="A12" s="1" t="s">
        <v>29</v>
      </c>
      <c r="B12" s="50">
        <v>17325204.200404901</v>
      </c>
      <c r="C12" s="50">
        <v>2324404.17873216</v>
      </c>
      <c r="D12" s="51">
        <v>849349.89084762905</v>
      </c>
      <c r="E12" s="50">
        <v>421272.27548817999</v>
      </c>
      <c r="F12" s="51">
        <v>4969.1901572404304</v>
      </c>
      <c r="G12" s="51">
        <v>74879.586936997803</v>
      </c>
      <c r="H12" s="51">
        <v>44360.137893688101</v>
      </c>
      <c r="I12" s="51">
        <v>0</v>
      </c>
      <c r="J12" s="51">
        <v>77829.453413853698</v>
      </c>
    </row>
    <row r="13" spans="1:11" x14ac:dyDescent="0.2">
      <c r="A13" s="1" t="s">
        <v>30</v>
      </c>
      <c r="B13" s="50">
        <v>14609645.334540199</v>
      </c>
      <c r="C13" s="50">
        <v>1796839.59855738</v>
      </c>
      <c r="D13" s="51">
        <v>554884.184864018</v>
      </c>
      <c r="E13" s="50">
        <v>411788.01256088301</v>
      </c>
      <c r="F13" s="51">
        <v>6192.4536365225804</v>
      </c>
      <c r="G13" s="51">
        <v>63870.664457838699</v>
      </c>
      <c r="H13" s="51">
        <v>35585.0179803723</v>
      </c>
      <c r="I13" s="51">
        <v>0</v>
      </c>
      <c r="J13" s="51">
        <v>35041.706860456899</v>
      </c>
    </row>
    <row r="14" spans="1:11" x14ac:dyDescent="0.2">
      <c r="A14" s="1" t="s">
        <v>31</v>
      </c>
      <c r="B14" s="50">
        <v>15307385.2555678</v>
      </c>
      <c r="C14" s="50">
        <v>4887364.0613547098</v>
      </c>
      <c r="D14" s="51">
        <v>1172735.17070509</v>
      </c>
      <c r="E14" s="50">
        <v>521911.84080315998</v>
      </c>
      <c r="F14" s="51">
        <v>4057.3058190930401</v>
      </c>
      <c r="G14" s="51">
        <v>100345.934146912</v>
      </c>
      <c r="H14" s="51">
        <v>35225.383442347797</v>
      </c>
      <c r="I14" s="51">
        <v>0</v>
      </c>
      <c r="J14" s="51">
        <v>85725.867056018295</v>
      </c>
    </row>
    <row r="15" spans="1:11" x14ac:dyDescent="0.2">
      <c r="A15" s="1" t="s">
        <v>32</v>
      </c>
      <c r="B15" s="50">
        <v>43410614.610494502</v>
      </c>
      <c r="C15" s="50">
        <v>9986497.9161546007</v>
      </c>
      <c r="D15" s="51">
        <v>3829.1186441058999</v>
      </c>
      <c r="E15" s="50">
        <v>2640435.76257081</v>
      </c>
      <c r="F15" s="50">
        <v>234741.795926614</v>
      </c>
      <c r="G15" s="50">
        <v>167275.307486037</v>
      </c>
      <c r="H15" s="50">
        <v>173492.80172483399</v>
      </c>
      <c r="I15" s="51">
        <v>24069.507632626799</v>
      </c>
      <c r="J15" s="51">
        <v>271290.83418188</v>
      </c>
    </row>
    <row r="16" spans="1:11" x14ac:dyDescent="0.2">
      <c r="A16" s="1" t="s">
        <v>33</v>
      </c>
      <c r="B16" s="50">
        <v>31649420.743160401</v>
      </c>
      <c r="C16" s="50">
        <v>2822613.3564782501</v>
      </c>
      <c r="D16" s="51">
        <v>0</v>
      </c>
      <c r="E16" s="50">
        <v>2435981.0413013399</v>
      </c>
      <c r="F16" s="50">
        <v>213432.45460203101</v>
      </c>
      <c r="G16" s="50">
        <v>164340.50463135599</v>
      </c>
      <c r="H16" s="51">
        <v>126165.167293208</v>
      </c>
      <c r="I16" s="51">
        <v>6599.1122931803502</v>
      </c>
      <c r="J16" s="51">
        <v>240176.909741624</v>
      </c>
    </row>
    <row r="17" spans="1:10" x14ac:dyDescent="0.2">
      <c r="A17" s="1" t="s">
        <v>34</v>
      </c>
      <c r="B17" s="50">
        <v>42177786.857582599</v>
      </c>
      <c r="C17" s="50">
        <v>3357726.9619083102</v>
      </c>
      <c r="D17" s="51">
        <v>0</v>
      </c>
      <c r="E17" s="50">
        <v>2304910.4912481802</v>
      </c>
      <c r="F17" s="50">
        <v>269928.03876674798</v>
      </c>
      <c r="G17" s="50">
        <v>167511.87187630899</v>
      </c>
      <c r="H17" s="50">
        <v>215242.39661772299</v>
      </c>
      <c r="I17" s="51">
        <v>0</v>
      </c>
      <c r="J17" s="51">
        <v>259692.89111643701</v>
      </c>
    </row>
    <row r="18" spans="1:10" x14ac:dyDescent="0.2">
      <c r="A18" s="1" t="s">
        <v>35</v>
      </c>
      <c r="B18" s="50">
        <v>2895570.0802316801</v>
      </c>
      <c r="C18" s="50">
        <v>301277.846103421</v>
      </c>
      <c r="D18" s="51">
        <v>0</v>
      </c>
      <c r="E18" s="50">
        <v>421251.71506581199</v>
      </c>
      <c r="F18" s="50">
        <v>325392.24985795701</v>
      </c>
      <c r="G18" s="51">
        <v>28312.308583295198</v>
      </c>
      <c r="H18" s="51">
        <v>106350.708633988</v>
      </c>
      <c r="I18" s="51">
        <v>3990.2072717722599</v>
      </c>
      <c r="J18" s="51">
        <v>112295.803525191</v>
      </c>
    </row>
    <row r="19" spans="1:10" x14ac:dyDescent="0.2">
      <c r="A19" s="1" t="s">
        <v>36</v>
      </c>
      <c r="B19" s="50">
        <v>3041357.0447311299</v>
      </c>
      <c r="C19" s="50">
        <v>149062.72749322499</v>
      </c>
      <c r="D19" s="51">
        <v>0</v>
      </c>
      <c r="E19" s="50">
        <v>692702.71982529305</v>
      </c>
      <c r="F19" s="50">
        <v>246161.95985757999</v>
      </c>
      <c r="G19" s="51">
        <v>29621.346653014702</v>
      </c>
      <c r="H19" s="51">
        <v>61379.6687105858</v>
      </c>
      <c r="I19" s="51">
        <v>0</v>
      </c>
      <c r="J19" s="51">
        <v>116588.819900203</v>
      </c>
    </row>
    <row r="20" spans="1:10" x14ac:dyDescent="0.2">
      <c r="A20" s="1" t="s">
        <v>37</v>
      </c>
      <c r="B20" s="50">
        <v>3019195.08055904</v>
      </c>
      <c r="C20" s="50">
        <v>287361.01055236498</v>
      </c>
      <c r="D20" s="51">
        <v>0</v>
      </c>
      <c r="E20" s="50">
        <v>677165.44485336705</v>
      </c>
      <c r="F20" s="50">
        <v>225190.913475376</v>
      </c>
      <c r="G20" s="51">
        <v>23409.426958604799</v>
      </c>
      <c r="H20" s="51">
        <v>112318.503327935</v>
      </c>
      <c r="I20" s="51">
        <v>0</v>
      </c>
      <c r="J20" s="51">
        <v>104811.419760335</v>
      </c>
    </row>
    <row r="21" spans="1:10" x14ac:dyDescent="0.2">
      <c r="A21" s="1" t="s">
        <v>38</v>
      </c>
      <c r="B21" s="50">
        <v>41245443.281144798</v>
      </c>
      <c r="C21" s="50">
        <v>157163.16721788599</v>
      </c>
      <c r="D21" s="51">
        <v>163361.45876468299</v>
      </c>
      <c r="E21" s="50">
        <v>577412.24942869402</v>
      </c>
      <c r="F21" s="50">
        <v>170300.15043367</v>
      </c>
      <c r="G21" s="51">
        <v>30100.692541182802</v>
      </c>
      <c r="H21" s="51">
        <v>112352.82036363</v>
      </c>
      <c r="I21" s="51">
        <v>0</v>
      </c>
      <c r="J21" s="51">
        <v>115966.144178915</v>
      </c>
    </row>
    <row r="22" spans="1:10" x14ac:dyDescent="0.2">
      <c r="A22" s="1" t="s">
        <v>39</v>
      </c>
      <c r="B22" s="50">
        <v>46959576.764671899</v>
      </c>
      <c r="C22" s="50">
        <v>294774.83585454</v>
      </c>
      <c r="D22" s="51">
        <v>85931.502294349397</v>
      </c>
      <c r="E22" s="50">
        <v>616071.17360399803</v>
      </c>
      <c r="F22" s="50">
        <v>120009.85722830601</v>
      </c>
      <c r="G22" s="51">
        <v>23835.544699149399</v>
      </c>
      <c r="H22" s="51">
        <v>107151.656522933</v>
      </c>
      <c r="I22" s="51">
        <v>0</v>
      </c>
      <c r="J22" s="51">
        <v>147083.84140756799</v>
      </c>
    </row>
    <row r="23" spans="1:10" x14ac:dyDescent="0.2">
      <c r="A23" s="1" t="s">
        <v>40</v>
      </c>
      <c r="B23" s="50">
        <v>45194861.303251103</v>
      </c>
      <c r="C23" s="50">
        <v>296319.073819182</v>
      </c>
      <c r="D23" s="51">
        <v>126519.679949506</v>
      </c>
      <c r="E23" s="50">
        <v>597230.11567705101</v>
      </c>
      <c r="F23" s="50">
        <v>170163.28103397699</v>
      </c>
      <c r="G23" s="51">
        <v>22298.426201204598</v>
      </c>
      <c r="H23" s="51">
        <v>134604.047356422</v>
      </c>
      <c r="I23" s="51">
        <v>0</v>
      </c>
      <c r="J23" s="51">
        <v>96251.835199747293</v>
      </c>
    </row>
    <row r="24" spans="1:10" x14ac:dyDescent="0.2">
      <c r="A24" s="1" t="s">
        <v>41</v>
      </c>
      <c r="B24" s="50">
        <v>28089550.450054999</v>
      </c>
      <c r="C24" s="50">
        <v>11150319.6472883</v>
      </c>
      <c r="D24" s="50">
        <v>1507239.9015916199</v>
      </c>
      <c r="E24" s="50">
        <v>2142156.46291437</v>
      </c>
      <c r="F24" s="50">
        <v>181698.85164074201</v>
      </c>
      <c r="G24" s="50">
        <v>181100.43519229599</v>
      </c>
      <c r="H24" s="50">
        <v>143918.34576950801</v>
      </c>
      <c r="I24" s="51">
        <v>11301.914188037301</v>
      </c>
      <c r="J24" s="51">
        <v>120204.24452830201</v>
      </c>
    </row>
    <row r="25" spans="1:10" x14ac:dyDescent="0.2">
      <c r="A25" s="1" t="s">
        <v>42</v>
      </c>
      <c r="B25" s="50">
        <v>25434519.946036801</v>
      </c>
      <c r="C25" s="50">
        <v>6749522.6376113202</v>
      </c>
      <c r="D25" s="50">
        <v>856278.62118166604</v>
      </c>
      <c r="E25" s="50">
        <v>1939619.62785211</v>
      </c>
      <c r="F25" s="50">
        <v>157353.20152263201</v>
      </c>
      <c r="G25" s="50">
        <v>162739.20057683601</v>
      </c>
      <c r="H25" s="51">
        <v>132878.63540179201</v>
      </c>
      <c r="I25" s="51">
        <v>6929.9760561276098</v>
      </c>
      <c r="J25" s="50">
        <v>241059.644008106</v>
      </c>
    </row>
    <row r="26" spans="1:10" x14ac:dyDescent="0.2">
      <c r="A26" s="1" t="s">
        <v>43</v>
      </c>
      <c r="B26" s="50">
        <v>25814753.362902701</v>
      </c>
      <c r="C26" s="50">
        <v>19574207.134315699</v>
      </c>
      <c r="D26" s="50">
        <v>997443.32949742104</v>
      </c>
      <c r="E26" s="50">
        <v>1697352.0205875901</v>
      </c>
      <c r="F26" s="50">
        <v>166806.38160102701</v>
      </c>
      <c r="G26" s="51">
        <v>147759.98299855899</v>
      </c>
      <c r="H26" s="50">
        <v>154409.493970132</v>
      </c>
      <c r="I26" s="51">
        <v>0</v>
      </c>
      <c r="J26" s="51">
        <v>204633.735024252</v>
      </c>
    </row>
    <row r="27" spans="1:10" x14ac:dyDescent="0.2">
      <c r="A27" s="1" t="s">
        <v>44</v>
      </c>
      <c r="B27" s="50">
        <v>26798995.7443799</v>
      </c>
      <c r="C27" s="50">
        <v>1567495.7379384399</v>
      </c>
      <c r="D27" s="50">
        <v>91421.533035356595</v>
      </c>
      <c r="E27" s="50">
        <v>209951.672372384</v>
      </c>
      <c r="F27" s="50">
        <v>6022.8568868578004</v>
      </c>
      <c r="G27" s="50">
        <v>516245.903652307</v>
      </c>
      <c r="H27" s="50">
        <v>161760.19884239099</v>
      </c>
      <c r="I27" s="51">
        <v>80137.010671799799</v>
      </c>
      <c r="J27" s="51">
        <v>37690.1447466397</v>
      </c>
    </row>
    <row r="28" spans="1:10" x14ac:dyDescent="0.2">
      <c r="A28" s="1" t="s">
        <v>45</v>
      </c>
      <c r="B28" s="50">
        <v>14453837.906302899</v>
      </c>
      <c r="C28" s="50">
        <v>1906021.3564037799</v>
      </c>
      <c r="D28" s="51">
        <v>40502.228847897903</v>
      </c>
      <c r="E28" s="50">
        <v>240603.899328081</v>
      </c>
      <c r="F28" s="50">
        <v>521805.23231632001</v>
      </c>
      <c r="G28" s="50">
        <v>329480.02553633897</v>
      </c>
      <c r="H28" s="51">
        <v>91060.260228038795</v>
      </c>
      <c r="I28" s="51">
        <v>28833.767524286901</v>
      </c>
      <c r="J28" s="51">
        <v>16542.8135333018</v>
      </c>
    </row>
    <row r="29" spans="1:10" x14ac:dyDescent="0.2">
      <c r="A29" s="1" t="s">
        <v>46</v>
      </c>
      <c r="B29" s="50">
        <v>21981926.654068299</v>
      </c>
      <c r="C29" s="50">
        <v>3123331.5126408399</v>
      </c>
      <c r="D29" s="50">
        <v>597937.64672455995</v>
      </c>
      <c r="E29" s="50">
        <v>309482.38641032402</v>
      </c>
      <c r="F29" s="50">
        <v>383878.51291807299</v>
      </c>
      <c r="G29" s="50">
        <v>442414.06736682297</v>
      </c>
      <c r="H29" s="50">
        <v>167671.99585529999</v>
      </c>
      <c r="I29" s="51">
        <v>70261.663252362603</v>
      </c>
      <c r="J29" s="51">
        <v>14634.3203148459</v>
      </c>
    </row>
    <row r="30" spans="1:10" x14ac:dyDescent="0.2">
      <c r="A30" s="1" t="s">
        <v>47</v>
      </c>
      <c r="B30" s="50">
        <v>3355962.00644759</v>
      </c>
      <c r="C30" s="50">
        <v>832009.76258359104</v>
      </c>
      <c r="D30" s="51">
        <v>0</v>
      </c>
      <c r="E30" s="50">
        <v>1821345.7957386901</v>
      </c>
      <c r="F30" s="50">
        <v>1236360.4141342901</v>
      </c>
      <c r="G30" s="50">
        <v>249030.39707710099</v>
      </c>
      <c r="H30" s="50">
        <v>219950.81428485701</v>
      </c>
      <c r="I30" s="51">
        <v>68347.899241620195</v>
      </c>
      <c r="J30" s="50">
        <v>303492.10785000102</v>
      </c>
    </row>
    <row r="31" spans="1:10" x14ac:dyDescent="0.2">
      <c r="A31" s="1" t="s">
        <v>48</v>
      </c>
      <c r="B31" s="50">
        <v>3048769.4274545</v>
      </c>
      <c r="C31" s="50">
        <v>853179.77930826298</v>
      </c>
      <c r="D31" s="51">
        <v>0</v>
      </c>
      <c r="E31" s="50">
        <v>1383923.3176993399</v>
      </c>
      <c r="F31" s="50">
        <v>583392.60144551203</v>
      </c>
      <c r="G31" s="50">
        <v>225270.47111536301</v>
      </c>
      <c r="H31" s="50">
        <v>236412.00526597101</v>
      </c>
      <c r="I31" s="51">
        <v>67945.294275935899</v>
      </c>
      <c r="J31" s="50">
        <v>285473.238190473</v>
      </c>
    </row>
    <row r="32" spans="1:10" x14ac:dyDescent="0.2">
      <c r="A32" s="1" t="s">
        <v>49</v>
      </c>
      <c r="B32" s="50">
        <v>2995179.7760427701</v>
      </c>
      <c r="C32" s="50">
        <v>1326156.8200233199</v>
      </c>
      <c r="D32" s="51">
        <v>0</v>
      </c>
      <c r="E32" s="50">
        <v>1856942.4665552501</v>
      </c>
      <c r="F32" s="50">
        <v>619226.12900192395</v>
      </c>
      <c r="G32" s="50">
        <v>217001.81715831999</v>
      </c>
      <c r="H32" s="50">
        <v>226316.51224611199</v>
      </c>
      <c r="I32" s="51">
        <v>71419.372442805397</v>
      </c>
      <c r="J32" s="50">
        <v>312709.78518101998</v>
      </c>
    </row>
    <row r="33" spans="1:10" x14ac:dyDescent="0.2">
      <c r="A33" s="1" t="s">
        <v>50</v>
      </c>
      <c r="B33" s="50">
        <v>40437040.503075697</v>
      </c>
      <c r="C33" s="50">
        <v>935333.21846583695</v>
      </c>
      <c r="D33" s="50">
        <v>265458.89494206</v>
      </c>
      <c r="E33" s="50">
        <v>2042721.64937457</v>
      </c>
      <c r="F33" s="50">
        <v>806727.56519571797</v>
      </c>
      <c r="G33" s="50">
        <v>252233.43473370399</v>
      </c>
      <c r="H33" s="50">
        <v>248222.64499910601</v>
      </c>
      <c r="I33" s="51">
        <v>48118.466372036797</v>
      </c>
      <c r="J33" s="50">
        <v>363089.11512716999</v>
      </c>
    </row>
    <row r="34" spans="1:10" x14ac:dyDescent="0.2">
      <c r="A34" s="1" t="s">
        <v>51</v>
      </c>
      <c r="B34" s="50">
        <v>53171500.868527398</v>
      </c>
      <c r="C34" s="50">
        <v>1062994.35362044</v>
      </c>
      <c r="D34" s="50">
        <v>249768.596456367</v>
      </c>
      <c r="E34" s="50">
        <v>2321983.3407479399</v>
      </c>
      <c r="F34" s="50">
        <v>1018388.77951761</v>
      </c>
      <c r="G34" s="50">
        <v>269918.72066324</v>
      </c>
      <c r="H34" s="50">
        <v>246599.15945715099</v>
      </c>
      <c r="I34" s="51">
        <v>91546.447317831306</v>
      </c>
      <c r="J34" s="50">
        <v>431338.22616445698</v>
      </c>
    </row>
    <row r="35" spans="1:10" x14ac:dyDescent="0.2">
      <c r="A35" s="1" t="s">
        <v>52</v>
      </c>
      <c r="B35" s="50">
        <v>43974790.236830197</v>
      </c>
      <c r="C35" s="50">
        <v>808491.29264439305</v>
      </c>
      <c r="D35" s="50">
        <v>287896.36348938401</v>
      </c>
      <c r="E35" s="50">
        <v>2427311.4667738699</v>
      </c>
      <c r="F35" s="50">
        <v>778605.26572733105</v>
      </c>
      <c r="G35" s="50">
        <v>265756.46646742598</v>
      </c>
      <c r="H35" s="50">
        <v>277398.795228437</v>
      </c>
      <c r="I35" s="51">
        <v>80599.385626175004</v>
      </c>
      <c r="J35" s="50">
        <v>423205.027478965</v>
      </c>
    </row>
    <row r="36" spans="1:10" x14ac:dyDescent="0.2">
      <c r="A36" s="1" t="s">
        <v>53</v>
      </c>
      <c r="B36" s="50">
        <v>2997199.3551998599</v>
      </c>
      <c r="C36" s="50">
        <v>10339279.838909401</v>
      </c>
      <c r="D36" s="50">
        <v>3841475.2478651898</v>
      </c>
      <c r="E36" s="50">
        <v>1582959.06850614</v>
      </c>
      <c r="F36" s="50">
        <v>761401.272677831</v>
      </c>
      <c r="G36" s="50">
        <v>372676.51526096102</v>
      </c>
      <c r="H36" s="50">
        <v>299121.70652882202</v>
      </c>
      <c r="I36" s="51">
        <v>53008.318935155599</v>
      </c>
      <c r="J36" s="50">
        <v>264567.19232578902</v>
      </c>
    </row>
    <row r="37" spans="1:10" x14ac:dyDescent="0.2">
      <c r="A37" s="1" t="s">
        <v>54</v>
      </c>
      <c r="B37" s="50">
        <v>30013361.2584447</v>
      </c>
      <c r="C37" s="50">
        <v>4441669.5865287296</v>
      </c>
      <c r="D37" s="50">
        <v>3612506.1262693298</v>
      </c>
      <c r="E37" s="50">
        <v>2299238.15558297</v>
      </c>
      <c r="F37" s="50">
        <v>969379.83338856394</v>
      </c>
      <c r="G37" s="50">
        <v>415347.05033698602</v>
      </c>
      <c r="H37" s="50">
        <v>300677.298537125</v>
      </c>
      <c r="I37" s="51">
        <v>63890.7019469183</v>
      </c>
      <c r="J37" s="50">
        <v>379443.64529555402</v>
      </c>
    </row>
    <row r="38" spans="1:10" x14ac:dyDescent="0.2">
      <c r="A38" s="1" t="s">
        <v>55</v>
      </c>
      <c r="B38" s="50">
        <v>39778672.033433698</v>
      </c>
      <c r="C38" s="50">
        <v>8757185.7376716007</v>
      </c>
      <c r="D38" s="50">
        <v>6385572.6537453197</v>
      </c>
      <c r="E38" s="50">
        <v>2341526.36356339</v>
      </c>
      <c r="F38" s="50">
        <v>757695.88819759199</v>
      </c>
      <c r="G38" s="50">
        <v>464124.440051143</v>
      </c>
      <c r="H38" s="50">
        <v>338947.415003156</v>
      </c>
      <c r="I38" s="51">
        <v>74055.059716159201</v>
      </c>
      <c r="J38" s="50">
        <v>397611.60173719598</v>
      </c>
    </row>
    <row r="39" spans="1:10" x14ac:dyDescent="0.2">
      <c r="A39" s="1" t="s">
        <v>56</v>
      </c>
      <c r="B39" s="50">
        <v>49065509.163968198</v>
      </c>
      <c r="C39" s="50">
        <v>10954547.3829356</v>
      </c>
      <c r="D39" s="50">
        <v>449691.17932503601</v>
      </c>
      <c r="E39" s="50">
        <v>14534649.443150301</v>
      </c>
      <c r="F39" s="50">
        <v>6265026.27404691</v>
      </c>
      <c r="G39" s="50">
        <v>755874.240303069</v>
      </c>
      <c r="H39" s="50">
        <v>968772.01205787901</v>
      </c>
      <c r="I39" s="50">
        <v>238831.566852124</v>
      </c>
      <c r="J39" s="50">
        <v>1081237.41375571</v>
      </c>
    </row>
    <row r="40" spans="1:10" x14ac:dyDescent="0.2">
      <c r="A40" s="1" t="s">
        <v>57</v>
      </c>
      <c r="B40" s="50">
        <v>35860319.762512602</v>
      </c>
      <c r="C40" s="50">
        <v>10667487.743461199</v>
      </c>
      <c r="D40" s="50">
        <v>605502.66812771605</v>
      </c>
      <c r="E40" s="50">
        <v>15819685.793046501</v>
      </c>
      <c r="F40" s="50">
        <v>10399949.54837</v>
      </c>
      <c r="G40" s="50">
        <v>911826.77962501603</v>
      </c>
      <c r="H40" s="50">
        <v>1039881.99664264</v>
      </c>
      <c r="I40" s="50">
        <v>248451.05247773201</v>
      </c>
      <c r="J40" s="50">
        <v>1166690.1617318101</v>
      </c>
    </row>
    <row r="41" spans="1:10" x14ac:dyDescent="0.2">
      <c r="A41" s="1" t="s">
        <v>58</v>
      </c>
      <c r="B41" s="50">
        <v>82016514.257777601</v>
      </c>
      <c r="C41" s="50">
        <v>8528894.9911861494</v>
      </c>
      <c r="D41" s="50">
        <v>637557.87497022399</v>
      </c>
      <c r="E41" s="50">
        <v>15739988.0466328</v>
      </c>
      <c r="F41" s="50">
        <v>8003388.8684200495</v>
      </c>
      <c r="G41" s="50">
        <v>838391.04635523795</v>
      </c>
      <c r="H41" s="50">
        <v>993309.11601460201</v>
      </c>
      <c r="I41" s="50">
        <v>283153.88579995802</v>
      </c>
      <c r="J41" s="50">
        <v>1517262.2556720099</v>
      </c>
    </row>
    <row r="42" spans="1:10" x14ac:dyDescent="0.2">
      <c r="A42" s="1" t="s">
        <v>59</v>
      </c>
      <c r="B42" s="51">
        <v>37356.916743844398</v>
      </c>
      <c r="C42" s="50">
        <v>440310.43727160402</v>
      </c>
      <c r="D42" s="51">
        <v>0</v>
      </c>
      <c r="E42" s="50">
        <v>3487189.7119300198</v>
      </c>
      <c r="F42" s="50">
        <v>4672307.4299331596</v>
      </c>
      <c r="G42" s="50">
        <v>144863.21718194699</v>
      </c>
      <c r="H42" s="50">
        <v>512975.96888936497</v>
      </c>
      <c r="I42" s="51">
        <v>32170.662097418899</v>
      </c>
      <c r="J42" s="50">
        <v>711760.52857967105</v>
      </c>
    </row>
    <row r="43" spans="1:10" x14ac:dyDescent="0.2">
      <c r="A43" s="1" t="s">
        <v>60</v>
      </c>
      <c r="B43" s="50">
        <v>2759326.92491335</v>
      </c>
      <c r="C43" s="50">
        <v>483772.88100432302</v>
      </c>
      <c r="D43" s="51">
        <v>0</v>
      </c>
      <c r="E43" s="50">
        <v>3742957.5212996202</v>
      </c>
      <c r="F43" s="50">
        <v>6138684.1207984099</v>
      </c>
      <c r="G43" s="50">
        <v>113045.432795352</v>
      </c>
      <c r="H43" s="50">
        <v>354458.81644802098</v>
      </c>
      <c r="I43" s="51">
        <v>11653.395395499399</v>
      </c>
      <c r="J43" s="50">
        <v>677040.25867476605</v>
      </c>
    </row>
    <row r="44" spans="1:10" x14ac:dyDescent="0.2">
      <c r="A44" s="1" t="s">
        <v>61</v>
      </c>
      <c r="B44" s="50">
        <v>1531914.4937991099</v>
      </c>
      <c r="C44" s="50">
        <v>1349748.46361239</v>
      </c>
      <c r="D44" s="51">
        <v>0</v>
      </c>
      <c r="E44" s="50">
        <v>1627449.2079195001</v>
      </c>
      <c r="F44" s="50">
        <v>1605483.61886311</v>
      </c>
      <c r="G44" s="51">
        <v>66185.571239728903</v>
      </c>
      <c r="H44" s="50">
        <v>173299.11379135301</v>
      </c>
      <c r="I44" s="51">
        <v>0</v>
      </c>
      <c r="J44" s="50">
        <v>233578.41098017999</v>
      </c>
    </row>
    <row r="45" spans="1:10" x14ac:dyDescent="0.2">
      <c r="A45" s="1" t="s">
        <v>62</v>
      </c>
      <c r="B45" s="50">
        <v>112193193.417037</v>
      </c>
      <c r="C45" s="50">
        <v>432366.081559374</v>
      </c>
      <c r="D45" s="50">
        <v>1555249.0439925599</v>
      </c>
      <c r="E45" s="50">
        <v>2585865.85277736</v>
      </c>
      <c r="F45" s="50">
        <v>4602668.8656196203</v>
      </c>
      <c r="G45" s="50">
        <v>148509.906217916</v>
      </c>
      <c r="H45" s="50">
        <v>545891.53136841697</v>
      </c>
      <c r="I45" s="51">
        <v>11725.574411578</v>
      </c>
      <c r="J45" s="50">
        <v>671940.47484935599</v>
      </c>
    </row>
    <row r="46" spans="1:10" x14ac:dyDescent="0.2">
      <c r="A46" s="1" t="s">
        <v>63</v>
      </c>
      <c r="B46" s="50">
        <v>71094932.568341002</v>
      </c>
      <c r="C46" s="50">
        <v>580452.77610993595</v>
      </c>
      <c r="D46" s="50">
        <v>1264136.45787751</v>
      </c>
      <c r="E46" s="50">
        <v>2948109.4008278102</v>
      </c>
      <c r="F46" s="50">
        <v>7407962.2053871304</v>
      </c>
      <c r="G46" s="50">
        <v>151539.41372971001</v>
      </c>
      <c r="H46" s="50">
        <v>506919.46511275502</v>
      </c>
      <c r="I46" s="51">
        <v>34879.485449571301</v>
      </c>
      <c r="J46" s="50">
        <v>810247.51842611702</v>
      </c>
    </row>
    <row r="47" spans="1:10" x14ac:dyDescent="0.2">
      <c r="A47" s="1" t="s">
        <v>64</v>
      </c>
      <c r="B47" s="50">
        <v>63633126.400472</v>
      </c>
      <c r="C47" s="50">
        <v>1281544.6343018401</v>
      </c>
      <c r="D47" s="50">
        <v>1398268.10274063</v>
      </c>
      <c r="E47" s="50">
        <v>2854996.2386761401</v>
      </c>
      <c r="F47" s="50">
        <v>3810560.0332567799</v>
      </c>
      <c r="G47" s="50">
        <v>153481.41112528701</v>
      </c>
      <c r="H47" s="50">
        <v>622010.71490386198</v>
      </c>
      <c r="I47" s="51">
        <v>24185.143017341801</v>
      </c>
      <c r="J47" s="50">
        <v>727364.35575258394</v>
      </c>
    </row>
    <row r="48" spans="1:10" x14ac:dyDescent="0.2">
      <c r="A48" s="1" t="s">
        <v>65</v>
      </c>
      <c r="B48" s="50">
        <v>56663816.082102403</v>
      </c>
      <c r="C48" s="50">
        <v>32649228.5001227</v>
      </c>
      <c r="D48" s="50">
        <v>8730164.2657754198</v>
      </c>
      <c r="E48" s="50">
        <v>9520028.8532514796</v>
      </c>
      <c r="F48" s="50">
        <v>4757103.4060853701</v>
      </c>
      <c r="G48" s="50">
        <v>932772.08228521096</v>
      </c>
      <c r="H48" s="50">
        <v>1059545.4700269599</v>
      </c>
      <c r="I48" s="50">
        <v>257520.81394447701</v>
      </c>
      <c r="J48" s="50">
        <v>1146729.2141690999</v>
      </c>
    </row>
    <row r="49" spans="1:10" x14ac:dyDescent="0.2">
      <c r="A49" s="1" t="s">
        <v>66</v>
      </c>
      <c r="B49" s="50">
        <v>35922125.625345498</v>
      </c>
      <c r="C49" s="50">
        <v>22996713.336340498</v>
      </c>
      <c r="D49" s="50">
        <v>4084057.7865399201</v>
      </c>
      <c r="E49" s="50">
        <v>8034142.0112109398</v>
      </c>
      <c r="F49" s="50">
        <v>5829780.2391451504</v>
      </c>
      <c r="G49" s="50">
        <v>797993.70157194196</v>
      </c>
      <c r="H49" s="50">
        <v>800585.23655728099</v>
      </c>
      <c r="I49" s="50">
        <v>172219.78220760301</v>
      </c>
      <c r="J49" s="50">
        <v>1113946.00008763</v>
      </c>
    </row>
    <row r="50" spans="1:10" x14ac:dyDescent="0.2">
      <c r="A50" s="1" t="s">
        <v>67</v>
      </c>
      <c r="B50" s="50">
        <v>48586524.220381998</v>
      </c>
      <c r="C50" s="50">
        <v>28184082.5466947</v>
      </c>
      <c r="D50" s="50">
        <v>5431992.1338069504</v>
      </c>
      <c r="E50" s="50">
        <v>8802698.6832430493</v>
      </c>
      <c r="F50" s="50">
        <v>4670280.7697905004</v>
      </c>
      <c r="G50" s="50">
        <v>834846.13164884597</v>
      </c>
      <c r="H50" s="50">
        <v>808703.54998351203</v>
      </c>
      <c r="I50" s="50">
        <v>195080.11511028299</v>
      </c>
      <c r="J50" s="50">
        <v>1095934.6455540201</v>
      </c>
    </row>
    <row r="51" spans="1:10" ht="14.25" customHeight="1" x14ac:dyDescent="0.2">
      <c r="A51" s="1" t="s">
        <v>68</v>
      </c>
      <c r="B51" s="50">
        <v>204201639.08664</v>
      </c>
      <c r="C51" s="50">
        <v>499664326.946854</v>
      </c>
      <c r="D51" s="50">
        <v>3974734.2194124698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</row>
    <row r="52" spans="1:10" x14ac:dyDescent="0.2">
      <c r="A52" s="1" t="s">
        <v>69</v>
      </c>
      <c r="B52" s="50">
        <v>214734640.84603399</v>
      </c>
      <c r="C52" s="50">
        <v>581286934.26025796</v>
      </c>
      <c r="D52" s="50">
        <v>4447746.6935854303</v>
      </c>
      <c r="E52" s="51">
        <v>0</v>
      </c>
      <c r="F52" s="51">
        <v>6276.4694328966398</v>
      </c>
      <c r="G52" s="51">
        <v>6228.7324912335298</v>
      </c>
      <c r="H52" s="51">
        <v>0</v>
      </c>
      <c r="I52" s="51">
        <v>0</v>
      </c>
      <c r="J52" s="51">
        <v>1234.010486379</v>
      </c>
    </row>
    <row r="53" spans="1:10" x14ac:dyDescent="0.2">
      <c r="A53" s="1" t="s">
        <v>70</v>
      </c>
      <c r="B53" s="50">
        <v>103674435.39576399</v>
      </c>
      <c r="C53" s="50">
        <v>342733537.64142799</v>
      </c>
      <c r="D53" s="50">
        <v>2168142.4467864502</v>
      </c>
      <c r="E53" s="51">
        <v>0</v>
      </c>
      <c r="F53" s="51">
        <v>4504.19605904742</v>
      </c>
      <c r="G53" s="51">
        <v>3254.6809569157699</v>
      </c>
      <c r="H53" s="51">
        <v>0</v>
      </c>
      <c r="I53" s="51">
        <v>0</v>
      </c>
      <c r="J53" s="51">
        <v>0</v>
      </c>
    </row>
    <row r="54" spans="1:10" x14ac:dyDescent="0.2">
      <c r="A54" s="1" t="s">
        <v>71</v>
      </c>
      <c r="B54" s="50">
        <v>2590849.8004232598</v>
      </c>
      <c r="C54" s="50">
        <v>1080779.47350132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</row>
    <row r="55" spans="1:10" x14ac:dyDescent="0.2">
      <c r="A55" s="1" t="s">
        <v>72</v>
      </c>
      <c r="B55" s="50">
        <v>2398577.5741173001</v>
      </c>
      <c r="C55" s="50">
        <v>1039782.86615349</v>
      </c>
      <c r="D55" s="51">
        <v>0</v>
      </c>
      <c r="E55" s="51">
        <v>0</v>
      </c>
      <c r="F55" s="51">
        <v>7774.0101507406798</v>
      </c>
      <c r="G55" s="51">
        <v>0</v>
      </c>
      <c r="H55" s="51">
        <v>0</v>
      </c>
      <c r="I55" s="51">
        <v>0</v>
      </c>
      <c r="J55" s="51">
        <v>0</v>
      </c>
    </row>
    <row r="56" spans="1:10" x14ac:dyDescent="0.2">
      <c r="A56" s="1" t="s">
        <v>73</v>
      </c>
      <c r="B56" s="50">
        <v>2519326.8444785201</v>
      </c>
      <c r="C56" s="50">
        <v>859774.42067138897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1160.6536667826399</v>
      </c>
    </row>
    <row r="57" spans="1:10" x14ac:dyDescent="0.2">
      <c r="A57" s="1" t="s">
        <v>74</v>
      </c>
      <c r="B57" s="50">
        <v>202740532.28472</v>
      </c>
      <c r="C57" s="50">
        <v>733273.87217140303</v>
      </c>
      <c r="D57" s="50">
        <v>7003631.9744069995</v>
      </c>
      <c r="E57" s="51">
        <v>0</v>
      </c>
      <c r="F57" s="51">
        <v>21207.512383612</v>
      </c>
      <c r="G57" s="51">
        <v>0</v>
      </c>
      <c r="H57" s="51">
        <v>0</v>
      </c>
      <c r="I57" s="51">
        <v>0</v>
      </c>
      <c r="J57" s="51">
        <v>0</v>
      </c>
    </row>
    <row r="58" spans="1:10" x14ac:dyDescent="0.2">
      <c r="A58" s="1" t="s">
        <v>75</v>
      </c>
      <c r="B58" s="50">
        <v>223360877.17012301</v>
      </c>
      <c r="C58" s="50">
        <v>799873.87869555305</v>
      </c>
      <c r="D58" s="50">
        <v>7278530.42871047</v>
      </c>
      <c r="E58" s="51">
        <v>0</v>
      </c>
      <c r="F58" s="51">
        <v>19775.3345421349</v>
      </c>
      <c r="G58" s="51">
        <v>1200.4067069443299</v>
      </c>
      <c r="H58" s="51">
        <v>0</v>
      </c>
      <c r="I58" s="51">
        <v>0</v>
      </c>
      <c r="J58" s="51">
        <v>0</v>
      </c>
    </row>
    <row r="59" spans="1:10" x14ac:dyDescent="0.2">
      <c r="A59" s="1" t="s">
        <v>76</v>
      </c>
      <c r="B59" s="50">
        <v>252930243.079014</v>
      </c>
      <c r="C59" s="50">
        <v>574352.93482560595</v>
      </c>
      <c r="D59" s="50">
        <v>11774330.740718899</v>
      </c>
      <c r="E59" s="51">
        <v>0</v>
      </c>
      <c r="F59" s="51">
        <v>47674.173651763202</v>
      </c>
      <c r="G59" s="51">
        <v>1620.6546645815199</v>
      </c>
      <c r="H59" s="51">
        <v>882.261773491285</v>
      </c>
      <c r="I59" s="51">
        <v>0</v>
      </c>
      <c r="J59" s="51">
        <v>2447.0938230336901</v>
      </c>
    </row>
    <row r="60" spans="1:10" x14ac:dyDescent="0.2">
      <c r="A60" s="1" t="s">
        <v>77</v>
      </c>
      <c r="B60" s="50">
        <v>88517435.571978301</v>
      </c>
      <c r="C60" s="50">
        <v>1172841700.89171</v>
      </c>
      <c r="D60" s="50">
        <v>42434029.160944402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</row>
    <row r="61" spans="1:10" x14ac:dyDescent="0.2">
      <c r="A61" s="1" t="s">
        <v>78</v>
      </c>
      <c r="B61" s="50">
        <v>77344078.582999706</v>
      </c>
      <c r="C61" s="50">
        <v>723797972.94532597</v>
      </c>
      <c r="D61" s="50">
        <v>32836730.283258699</v>
      </c>
      <c r="E61" s="51">
        <v>0</v>
      </c>
      <c r="F61" s="51">
        <v>0</v>
      </c>
      <c r="G61" s="51">
        <v>6527.1175567014598</v>
      </c>
      <c r="H61" s="51">
        <v>0</v>
      </c>
      <c r="I61" s="51">
        <v>0</v>
      </c>
      <c r="J61" s="51">
        <v>1389.08161674911</v>
      </c>
    </row>
    <row r="62" spans="1:10" x14ac:dyDescent="0.2">
      <c r="A62" s="1" t="s">
        <v>79</v>
      </c>
      <c r="B62" s="50">
        <v>73850120.848759994</v>
      </c>
      <c r="C62" s="50">
        <v>543114961.92724097</v>
      </c>
      <c r="D62" s="50">
        <v>29249388.086325601</v>
      </c>
      <c r="E62" s="51">
        <v>0</v>
      </c>
      <c r="F62" s="51">
        <v>0</v>
      </c>
      <c r="G62" s="51">
        <v>3728.9337347624801</v>
      </c>
      <c r="H62" s="51">
        <v>0</v>
      </c>
      <c r="I62" s="51">
        <v>0</v>
      </c>
      <c r="J62" s="51">
        <v>2025.23725242098</v>
      </c>
    </row>
    <row r="63" spans="1:10" x14ac:dyDescent="0.2">
      <c r="A63" s="1" t="s">
        <v>80</v>
      </c>
      <c r="B63" s="50">
        <v>296322408.27734798</v>
      </c>
      <c r="C63" s="50">
        <v>1173125453.1896701</v>
      </c>
      <c r="D63" s="50">
        <v>6753019.73335231</v>
      </c>
      <c r="E63" s="51">
        <v>0</v>
      </c>
      <c r="F63" s="50">
        <v>251278.580130869</v>
      </c>
      <c r="G63" s="51">
        <v>2418.7951815577899</v>
      </c>
      <c r="H63" s="51">
        <v>0</v>
      </c>
      <c r="I63" s="51">
        <v>6369.8058194517098</v>
      </c>
      <c r="J63" s="51">
        <v>1189.79045610413</v>
      </c>
    </row>
    <row r="64" spans="1:10" x14ac:dyDescent="0.2">
      <c r="A64" s="1" t="s">
        <v>81</v>
      </c>
      <c r="B64" s="50">
        <v>271627140.125359</v>
      </c>
      <c r="C64" s="50">
        <v>756928485.69245398</v>
      </c>
      <c r="D64" s="50">
        <v>5862913.7649321798</v>
      </c>
      <c r="E64" s="51">
        <v>0</v>
      </c>
      <c r="F64" s="50">
        <v>215956.252902615</v>
      </c>
      <c r="G64" s="51">
        <v>2480.3688213197802</v>
      </c>
      <c r="H64" s="51">
        <v>0</v>
      </c>
      <c r="I64" s="51">
        <v>0</v>
      </c>
      <c r="J64" s="51">
        <v>0</v>
      </c>
    </row>
    <row r="65" spans="1:10" x14ac:dyDescent="0.2">
      <c r="A65" s="1" t="s">
        <v>82</v>
      </c>
      <c r="B65" s="50">
        <v>256099126.36786699</v>
      </c>
      <c r="C65" s="50">
        <v>610744910.38221204</v>
      </c>
      <c r="D65" s="50">
        <v>6068228.8383052703</v>
      </c>
      <c r="E65" s="51">
        <v>0</v>
      </c>
      <c r="F65" s="50">
        <v>236558.33756930899</v>
      </c>
      <c r="G65" s="51">
        <v>0</v>
      </c>
      <c r="H65" s="51">
        <v>0</v>
      </c>
      <c r="I65" s="51">
        <v>0</v>
      </c>
      <c r="J65" s="51">
        <v>0</v>
      </c>
    </row>
    <row r="66" spans="1:10" x14ac:dyDescent="0.2">
      <c r="A66" s="1" t="s">
        <v>83</v>
      </c>
      <c r="B66" s="50">
        <v>2475007.38240678</v>
      </c>
      <c r="C66" s="50">
        <v>927800.458709714</v>
      </c>
      <c r="D66" s="51">
        <v>0</v>
      </c>
      <c r="E66" s="51">
        <v>0</v>
      </c>
      <c r="F66" s="50">
        <v>358987.129024319</v>
      </c>
      <c r="G66" s="51">
        <v>0</v>
      </c>
      <c r="H66" s="51">
        <v>0</v>
      </c>
      <c r="I66" s="51">
        <v>0</v>
      </c>
      <c r="J66" s="51">
        <v>1125.6326280487301</v>
      </c>
    </row>
    <row r="67" spans="1:10" x14ac:dyDescent="0.2">
      <c r="A67" s="1" t="s">
        <v>84</v>
      </c>
      <c r="B67" s="50">
        <v>2477118.5832760301</v>
      </c>
      <c r="C67" s="50">
        <v>875120.57656881504</v>
      </c>
      <c r="D67" s="51">
        <v>0</v>
      </c>
      <c r="E67" s="51">
        <v>0</v>
      </c>
      <c r="F67" s="50">
        <v>367238.98646609002</v>
      </c>
      <c r="G67" s="51">
        <v>0</v>
      </c>
      <c r="H67" s="51">
        <v>0</v>
      </c>
      <c r="I67" s="51">
        <v>0</v>
      </c>
      <c r="J67" s="51">
        <v>0</v>
      </c>
    </row>
    <row r="68" spans="1:10" x14ac:dyDescent="0.2">
      <c r="A68" s="1" t="s">
        <v>85</v>
      </c>
      <c r="B68" s="50">
        <v>2293577.3888983699</v>
      </c>
      <c r="C68" s="50">
        <v>755056.10323487897</v>
      </c>
      <c r="D68" s="51">
        <v>0</v>
      </c>
      <c r="E68" s="51">
        <v>0</v>
      </c>
      <c r="F68" s="50">
        <v>312982.15491744201</v>
      </c>
      <c r="G68" s="51">
        <v>4197.3278881262804</v>
      </c>
      <c r="H68" s="51">
        <v>0</v>
      </c>
      <c r="I68" s="51">
        <v>0</v>
      </c>
      <c r="J68" s="51">
        <v>0</v>
      </c>
    </row>
    <row r="69" spans="1:10" x14ac:dyDescent="0.2">
      <c r="A69" s="1" t="s">
        <v>86</v>
      </c>
      <c r="B69" s="50">
        <v>233895484.62781</v>
      </c>
      <c r="C69" s="50">
        <v>442165.01442194899</v>
      </c>
      <c r="D69" s="50">
        <v>8951599.3603095207</v>
      </c>
      <c r="E69" s="51">
        <v>0</v>
      </c>
      <c r="F69" s="50">
        <v>246107.950858914</v>
      </c>
      <c r="G69" s="51">
        <v>0</v>
      </c>
      <c r="H69" s="51">
        <v>0</v>
      </c>
      <c r="I69" s="51">
        <v>0</v>
      </c>
      <c r="J69" s="51">
        <v>1126.15366227765</v>
      </c>
    </row>
    <row r="70" spans="1:10" x14ac:dyDescent="0.2">
      <c r="A70" s="1" t="s">
        <v>87</v>
      </c>
      <c r="B70" s="50">
        <v>219306764.72453201</v>
      </c>
      <c r="C70" s="50">
        <v>838295.14100101194</v>
      </c>
      <c r="D70" s="50">
        <v>8900100.3365591597</v>
      </c>
      <c r="E70" s="51">
        <v>0</v>
      </c>
      <c r="F70" s="50">
        <v>239560.824456817</v>
      </c>
      <c r="G70" s="51">
        <v>2902.6020231570701</v>
      </c>
      <c r="H70" s="51">
        <v>0</v>
      </c>
      <c r="I70" s="51">
        <v>0</v>
      </c>
      <c r="J70" s="51">
        <v>1286.3183775693701</v>
      </c>
    </row>
    <row r="71" spans="1:10" x14ac:dyDescent="0.2">
      <c r="A71" s="1" t="s">
        <v>88</v>
      </c>
      <c r="B71" s="50">
        <v>256746834.95173299</v>
      </c>
      <c r="C71" s="50">
        <v>710605.64864328399</v>
      </c>
      <c r="D71" s="50">
        <v>8839663.7435426097</v>
      </c>
      <c r="E71" s="51">
        <v>0</v>
      </c>
      <c r="F71" s="50">
        <v>264285.495349765</v>
      </c>
      <c r="G71" s="51">
        <v>0</v>
      </c>
      <c r="H71" s="51">
        <v>0</v>
      </c>
      <c r="I71" s="51">
        <v>0</v>
      </c>
      <c r="J71" s="51">
        <v>1283.2368169644601</v>
      </c>
    </row>
    <row r="72" spans="1:10" x14ac:dyDescent="0.2">
      <c r="A72" s="1" t="s">
        <v>89</v>
      </c>
      <c r="B72" s="50">
        <v>75575684.299948603</v>
      </c>
      <c r="C72" s="50">
        <v>395873958.06886798</v>
      </c>
      <c r="D72" s="50">
        <v>41317270.297263101</v>
      </c>
      <c r="E72" s="51">
        <v>0</v>
      </c>
      <c r="F72" s="50">
        <v>185656.90619713999</v>
      </c>
      <c r="G72" s="51">
        <v>0</v>
      </c>
      <c r="H72" s="51">
        <v>0</v>
      </c>
      <c r="I72" s="51">
        <v>0</v>
      </c>
      <c r="J72" s="51">
        <v>0</v>
      </c>
    </row>
    <row r="73" spans="1:10" x14ac:dyDescent="0.2">
      <c r="A73" s="1" t="s">
        <v>90</v>
      </c>
      <c r="B73" s="50">
        <v>64398859.927354999</v>
      </c>
      <c r="C73" s="50">
        <v>436132862.397506</v>
      </c>
      <c r="D73" s="50">
        <v>30993059.877703</v>
      </c>
      <c r="E73" s="51">
        <v>0</v>
      </c>
      <c r="F73" s="50">
        <v>142143.607545276</v>
      </c>
      <c r="G73" s="51">
        <v>0</v>
      </c>
      <c r="H73" s="51">
        <v>979.68116613705695</v>
      </c>
      <c r="I73" s="51">
        <v>0</v>
      </c>
      <c r="J73" s="51">
        <v>1759.0175063381</v>
      </c>
    </row>
    <row r="74" spans="1:10" x14ac:dyDescent="0.2">
      <c r="A74" s="1" t="s">
        <v>91</v>
      </c>
      <c r="B74" s="50">
        <v>72326191.659027994</v>
      </c>
      <c r="C74" s="50">
        <v>470360367.209216</v>
      </c>
      <c r="D74" s="50">
        <v>33646815.460713603</v>
      </c>
      <c r="E74" s="51">
        <v>0</v>
      </c>
      <c r="F74" s="50">
        <v>204879.435184275</v>
      </c>
      <c r="G74" s="51">
        <v>0</v>
      </c>
      <c r="H74" s="51">
        <v>0</v>
      </c>
      <c r="I74" s="51">
        <v>0</v>
      </c>
      <c r="J74" s="51">
        <v>0</v>
      </c>
    </row>
    <row r="75" spans="1:10" x14ac:dyDescent="0.2">
      <c r="E7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5CBA-38BF-4318-8AFE-6187565C0856}">
  <dimension ref="A1:BF75"/>
  <sheetViews>
    <sheetView topLeftCell="AV19" zoomScaleNormal="56" workbookViewId="0">
      <selection activeCell="AV36" sqref="AV36"/>
    </sheetView>
  </sheetViews>
  <sheetFormatPr baseColWidth="10" defaultColWidth="8.83203125" defaultRowHeight="15" x14ac:dyDescent="0.2"/>
  <cols>
    <col min="1" max="1" width="9.83203125" style="35" bestFit="1" customWidth="1"/>
    <col min="2" max="2" width="38.83203125" style="35" bestFit="1" customWidth="1"/>
    <col min="3" max="3" width="12.1640625" style="35" customWidth="1"/>
    <col min="4" max="4" width="13.33203125" style="35" customWidth="1"/>
    <col min="5" max="6" width="15.33203125" style="35" customWidth="1"/>
    <col min="7" max="7" width="12.1640625" style="35" customWidth="1"/>
    <col min="8" max="10" width="14.33203125" style="35" customWidth="1"/>
    <col min="11" max="11" width="11.33203125" style="35" bestFit="1" customWidth="1"/>
    <col min="12" max="12" width="9.1640625" style="35" customWidth="1"/>
    <col min="13" max="13" width="12.33203125" style="35" bestFit="1" customWidth="1"/>
    <col min="14" max="14" width="12.1640625" style="35" bestFit="1" customWidth="1"/>
    <col min="15" max="15" width="13.83203125" style="35" bestFit="1" customWidth="1"/>
    <col min="16" max="16" width="9" style="35" bestFit="1" customWidth="1"/>
    <col min="17" max="17" width="11.1640625" style="35" bestFit="1" customWidth="1"/>
    <col min="18" max="19" width="8.83203125" style="35"/>
    <col min="20" max="20" width="38.83203125" style="35" bestFit="1" customWidth="1"/>
    <col min="21" max="28" width="9" style="35" bestFit="1" customWidth="1"/>
    <col min="29" max="29" width="8.83203125" style="35"/>
    <col min="30" max="30" width="13.33203125" style="35" bestFit="1" customWidth="1"/>
    <col min="31" max="31" width="33.83203125" style="35" bestFit="1" customWidth="1"/>
    <col min="32" max="32" width="14.1640625" style="35" bestFit="1" customWidth="1"/>
    <col min="33" max="33" width="11" style="35" customWidth="1"/>
    <col min="34" max="34" width="12.1640625" style="35" customWidth="1"/>
    <col min="35" max="35" width="8.83203125" style="35" customWidth="1"/>
    <col min="36" max="36" width="18.5" style="35" customWidth="1"/>
    <col min="37" max="37" width="14" style="35" customWidth="1"/>
    <col min="38" max="39" width="11.5" style="35" bestFit="1" customWidth="1"/>
    <col min="40" max="40" width="10.33203125" style="35" bestFit="1" customWidth="1"/>
    <col min="41" max="41" width="10.33203125" style="35" customWidth="1"/>
    <col min="42" max="42" width="9" style="35" bestFit="1" customWidth="1"/>
    <col min="43" max="43" width="10.83203125" style="35" customWidth="1"/>
    <col min="44" max="44" width="20.5" style="35" customWidth="1"/>
    <col min="45" max="45" width="18.33203125" style="35" bestFit="1" customWidth="1"/>
    <col min="46" max="46" width="20.1640625" style="35" customWidth="1"/>
    <col min="47" max="47" width="19" style="35" bestFit="1" customWidth="1"/>
    <col min="48" max="48" width="26.6640625" style="35" customWidth="1"/>
    <col min="49" max="49" width="17.6640625" style="35" bestFit="1" customWidth="1"/>
    <col min="50" max="50" width="29.5" style="35" customWidth="1"/>
    <col min="51" max="51" width="28.6640625" style="35" customWidth="1"/>
    <col min="52" max="52" width="39" style="35" bestFit="1" customWidth="1"/>
    <col min="53" max="53" width="20.33203125" style="35" bestFit="1" customWidth="1"/>
    <col min="54" max="54" width="16.33203125" style="35" bestFit="1" customWidth="1"/>
    <col min="55" max="55" width="13.83203125" style="35" bestFit="1" customWidth="1"/>
    <col min="56" max="56" width="19.83203125" style="35" bestFit="1" customWidth="1"/>
    <col min="57" max="57" width="39" style="35" bestFit="1" customWidth="1"/>
    <col min="58" max="58" width="20.33203125" style="35" bestFit="1" customWidth="1"/>
    <col min="59" max="59" width="16.5" style="35" bestFit="1" customWidth="1"/>
    <col min="60" max="60" width="15.5" style="35" bestFit="1" customWidth="1"/>
    <col min="61" max="16384" width="8.83203125" style="35"/>
  </cols>
  <sheetData>
    <row r="1" spans="1:58" ht="26" x14ac:dyDescent="0.3">
      <c r="A1" s="114" t="s">
        <v>1</v>
      </c>
      <c r="B1" s="114"/>
      <c r="S1" s="114" t="s">
        <v>0</v>
      </c>
      <c r="T1" s="114"/>
      <c r="U1" s="115"/>
      <c r="V1" s="115"/>
      <c r="W1" s="115"/>
      <c r="X1" s="115"/>
      <c r="Y1" s="115"/>
      <c r="Z1" s="115"/>
      <c r="AA1" s="115"/>
      <c r="AB1" s="115"/>
      <c r="AF1" s="69" t="s">
        <v>181</v>
      </c>
      <c r="AG1" s="69"/>
      <c r="AR1" s="69" t="s">
        <v>188</v>
      </c>
      <c r="AZ1" s="35" t="s">
        <v>207</v>
      </c>
      <c r="BE1" s="35" t="s">
        <v>193</v>
      </c>
    </row>
    <row r="2" spans="1:58" x14ac:dyDescent="0.2">
      <c r="A2" s="24" t="s">
        <v>2</v>
      </c>
      <c r="B2" s="24"/>
      <c r="C2" s="24" t="s">
        <v>4</v>
      </c>
      <c r="D2" s="24" t="s">
        <v>6</v>
      </c>
      <c r="E2" s="24" t="s">
        <v>7</v>
      </c>
      <c r="F2" s="24" t="s">
        <v>8</v>
      </c>
      <c r="G2" s="24" t="s">
        <v>9</v>
      </c>
      <c r="H2" s="24" t="s">
        <v>10</v>
      </c>
      <c r="I2" s="24" t="s">
        <v>11</v>
      </c>
      <c r="J2" s="24" t="s">
        <v>12</v>
      </c>
      <c r="K2" s="70" t="s">
        <v>93</v>
      </c>
      <c r="N2" s="35" t="s">
        <v>4</v>
      </c>
      <c r="O2" s="35" t="s">
        <v>8</v>
      </c>
      <c r="P2" s="35" t="s">
        <v>11</v>
      </c>
      <c r="Q2" s="35" t="s">
        <v>12</v>
      </c>
      <c r="S2" s="116" t="s">
        <v>2</v>
      </c>
      <c r="T2" s="116"/>
      <c r="U2" s="116" t="s">
        <v>4</v>
      </c>
      <c r="V2" s="116" t="s">
        <v>6</v>
      </c>
      <c r="W2" s="116" t="s">
        <v>8</v>
      </c>
      <c r="X2" s="116" t="s">
        <v>9</v>
      </c>
      <c r="Y2" s="116" t="s">
        <v>10</v>
      </c>
      <c r="Z2" s="116" t="s">
        <v>11</v>
      </c>
      <c r="AA2" s="116" t="s">
        <v>12</v>
      </c>
      <c r="AB2" s="116" t="s">
        <v>93</v>
      </c>
      <c r="AD2" s="98" t="s">
        <v>2</v>
      </c>
      <c r="AE2" s="99" t="s">
        <v>209</v>
      </c>
      <c r="AF2" s="99" t="s">
        <v>4</v>
      </c>
      <c r="AG2" s="99" t="s">
        <v>6</v>
      </c>
      <c r="AH2" s="99" t="s">
        <v>8</v>
      </c>
      <c r="AI2" s="99" t="s">
        <v>9</v>
      </c>
      <c r="AJ2" s="99" t="s">
        <v>10</v>
      </c>
      <c r="AK2" s="99" t="s">
        <v>11</v>
      </c>
      <c r="AL2" s="99" t="s">
        <v>12</v>
      </c>
      <c r="AM2" s="99" t="s">
        <v>190</v>
      </c>
      <c r="AP2" s="102" t="s">
        <v>182</v>
      </c>
      <c r="AQ2" s="71" t="s">
        <v>183</v>
      </c>
      <c r="AR2" s="71" t="s">
        <v>184</v>
      </c>
      <c r="AS2" s="71" t="s">
        <v>185</v>
      </c>
      <c r="AT2" s="71" t="s">
        <v>191</v>
      </c>
      <c r="AU2" s="35" t="s">
        <v>208</v>
      </c>
      <c r="AX2" s="52" t="s">
        <v>158</v>
      </c>
      <c r="AY2" s="52" t="s">
        <v>13</v>
      </c>
      <c r="AZ2" s="70" t="s">
        <v>157</v>
      </c>
      <c r="BA2" s="71" t="s">
        <v>194</v>
      </c>
      <c r="BC2" s="52" t="s">
        <v>158</v>
      </c>
      <c r="BD2" s="52" t="s">
        <v>13</v>
      </c>
      <c r="BE2" s="70" t="s">
        <v>157</v>
      </c>
      <c r="BF2" s="84" t="s">
        <v>192</v>
      </c>
    </row>
    <row r="3" spans="1:58" ht="16" x14ac:dyDescent="0.2">
      <c r="A3" s="24" t="s">
        <v>19</v>
      </c>
      <c r="B3" s="72" t="s">
        <v>159</v>
      </c>
      <c r="C3" s="53">
        <v>27735.751796216398</v>
      </c>
      <c r="D3" s="53">
        <v>43432.0287739614</v>
      </c>
      <c r="E3" s="53">
        <v>1363676.56457328</v>
      </c>
      <c r="F3" s="53">
        <v>5643378.3923399895</v>
      </c>
      <c r="G3" s="53">
        <v>0</v>
      </c>
      <c r="H3" s="53">
        <v>2528184.0609287899</v>
      </c>
      <c r="I3" s="53">
        <v>7049507.2762163496</v>
      </c>
      <c r="J3" s="53">
        <v>1785793.24375167</v>
      </c>
      <c r="K3" s="53">
        <v>111772.93176770701</v>
      </c>
      <c r="M3" s="35" t="s">
        <v>179</v>
      </c>
      <c r="N3" s="74">
        <f>'Calibration curve'!B11</f>
        <v>11091135.760539191</v>
      </c>
      <c r="O3" s="35">
        <f>'Calibration curve'!C11</f>
        <v>12114769.68930145</v>
      </c>
      <c r="P3" s="35">
        <f>'Calibration curve'!D11</f>
        <v>1922070.6362911612</v>
      </c>
      <c r="Q3" s="35">
        <f>'Calibration curve'!E11</f>
        <v>19374853.23334552</v>
      </c>
      <c r="S3" s="116" t="s">
        <v>19</v>
      </c>
      <c r="T3" s="117" t="s">
        <v>159</v>
      </c>
      <c r="U3" s="75">
        <f t="shared" ref="U3:U27" si="0">(C3-$N$4)/$N$3</f>
        <v>5.8751327758635931E-2</v>
      </c>
      <c r="V3" s="75">
        <f t="shared" ref="V3:V34" si="1">(D3-$O$12)/$O$11</f>
        <v>6.0636208304453203E-2</v>
      </c>
      <c r="W3" s="75">
        <f t="shared" ref="W3:W34" si="2">(F3-$O$4)/$O$3</f>
        <v>0.48718037084133198</v>
      </c>
      <c r="X3" s="75">
        <v>0</v>
      </c>
      <c r="Y3" s="75">
        <f t="shared" ref="Y3:Y34" si="3">(H3-$P$8)/$P$7</f>
        <v>0.61557964366400242</v>
      </c>
      <c r="Z3" s="75">
        <f t="shared" ref="Z3:Z34" si="4">(I3-$P$4)/$P$3</f>
        <v>3.7292259394074447</v>
      </c>
      <c r="AA3" s="75">
        <f t="shared" ref="AA3:AA26" si="5">(J3-$Q$4)/$Q$3</f>
        <v>0.18284120061883646</v>
      </c>
      <c r="AB3" s="75">
        <f t="shared" ref="AB3:AB50" si="6">(K3-$N$19)/$N$18</f>
        <v>0.23808332710891475</v>
      </c>
      <c r="AD3" s="96">
        <v>1</v>
      </c>
      <c r="AE3" s="72" t="s">
        <v>159</v>
      </c>
      <c r="AF3" s="75">
        <f>(U3*0.0005*1000) /$AU$3</f>
        <v>0.33384650762041257</v>
      </c>
      <c r="AG3" s="75">
        <f t="shared" ref="AG3:AM3" si="7">(V3*0.0005*1000) /$AU3</f>
        <v>0.34455708747467395</v>
      </c>
      <c r="AH3" s="75">
        <f t="shared" si="7"/>
        <v>2.7683368460160289</v>
      </c>
      <c r="AI3" s="75">
        <f t="shared" si="7"/>
        <v>0</v>
      </c>
      <c r="AJ3" s="75">
        <f t="shared" si="7"/>
        <v>3.4979484215867309</v>
      </c>
      <c r="AK3" s="75">
        <f t="shared" si="7"/>
        <v>21.190824165086639</v>
      </c>
      <c r="AL3" s="75">
        <f t="shared" si="7"/>
        <v>1.0389704982752377</v>
      </c>
      <c r="AM3" s="75">
        <f t="shared" si="7"/>
        <v>1.3528764422907216</v>
      </c>
      <c r="AP3" s="103">
        <v>1</v>
      </c>
      <c r="AQ3" s="92">
        <v>0.36924999952316284</v>
      </c>
      <c r="AR3" s="92">
        <v>0.23655000329017639</v>
      </c>
      <c r="AS3" s="93">
        <v>0.37279661574606171</v>
      </c>
      <c r="AT3" s="93">
        <v>0.11183898472381851</v>
      </c>
      <c r="AU3" s="100">
        <v>8.7991526671048606E-2</v>
      </c>
      <c r="AW3" s="24" t="s">
        <v>19</v>
      </c>
      <c r="AX3" s="79" t="s">
        <v>159</v>
      </c>
      <c r="AY3" s="87">
        <v>16659758.735301999</v>
      </c>
      <c r="AZ3" s="10">
        <v>636057.01956492802</v>
      </c>
      <c r="BA3" s="10">
        <v>0</v>
      </c>
      <c r="BC3" s="79" t="s">
        <v>159</v>
      </c>
      <c r="BD3" s="85">
        <f t="shared" ref="BD3:BD26" si="8">AY3/$AT3</f>
        <v>148961999.04212782</v>
      </c>
      <c r="BE3" s="85">
        <f t="shared" ref="BE3:BE26" si="9">AZ3/$AT3</f>
        <v>5687256.7391025862</v>
      </c>
      <c r="BF3" s="85">
        <f t="shared" ref="BF3:BF26" si="10">BA3/$AT3</f>
        <v>0</v>
      </c>
    </row>
    <row r="4" spans="1:58" ht="16" x14ac:dyDescent="0.2">
      <c r="A4" s="24" t="s">
        <v>21</v>
      </c>
      <c r="B4" s="72" t="s">
        <v>159</v>
      </c>
      <c r="C4" s="53">
        <v>24368.542372236301</v>
      </c>
      <c r="D4" s="53">
        <v>45280.559488538398</v>
      </c>
      <c r="E4" s="53">
        <v>1812859.0959764801</v>
      </c>
      <c r="F4" s="53">
        <v>5395823.4592032405</v>
      </c>
      <c r="G4" s="53">
        <v>0</v>
      </c>
      <c r="H4" s="53">
        <v>2757075.3499447298</v>
      </c>
      <c r="I4" s="53">
        <v>6458862.8966258997</v>
      </c>
      <c r="J4" s="53">
        <v>1937765.26757588</v>
      </c>
      <c r="K4" s="53">
        <v>97758.374054554297</v>
      </c>
      <c r="M4" s="35" t="s">
        <v>97</v>
      </c>
      <c r="N4" s="76">
        <f>'Calibration curve'!B12</f>
        <v>-623883.20048674941</v>
      </c>
      <c r="O4" s="76">
        <f>'Calibration curve'!C12</f>
        <v>-258699.59755121917</v>
      </c>
      <c r="P4" s="76">
        <f>'Calibration curve'!D12</f>
        <v>-118328.39801402064</v>
      </c>
      <c r="Q4" s="76">
        <f>'Calibration curve'!E12</f>
        <v>-1756728.1832469702</v>
      </c>
      <c r="S4" s="116" t="s">
        <v>21</v>
      </c>
      <c r="T4" s="117" t="s">
        <v>159</v>
      </c>
      <c r="U4" s="75">
        <f t="shared" si="0"/>
        <v>5.8447733113625791E-2</v>
      </c>
      <c r="V4" s="75">
        <f t="shared" si="1"/>
        <v>6.082523584170841E-2</v>
      </c>
      <c r="W4" s="75">
        <f t="shared" si="2"/>
        <v>0.46674622809775473</v>
      </c>
      <c r="X4" s="75">
        <v>0</v>
      </c>
      <c r="Y4" s="75">
        <f t="shared" si="3"/>
        <v>0.66103656212728767</v>
      </c>
      <c r="Z4" s="75">
        <f t="shared" si="4"/>
        <v>3.421930063575243</v>
      </c>
      <c r="AA4" s="75">
        <f t="shared" si="5"/>
        <v>0.19068497739453119</v>
      </c>
      <c r="AB4" s="75">
        <f t="shared" si="6"/>
        <v>0.20499738783636839</v>
      </c>
      <c r="AD4" s="96" t="s">
        <v>21</v>
      </c>
      <c r="AE4" s="72" t="s">
        <v>159</v>
      </c>
      <c r="AF4" s="75">
        <f>(U4*0.0005*1000) /$AU$3</f>
        <v>0.33212137193692165</v>
      </c>
      <c r="AG4" s="75">
        <f>(V4*0.0005*1000) /$AU4</f>
        <v>0.34563121099773708</v>
      </c>
      <c r="AH4" s="75">
        <f>(W4*0.0005*1000) /$AU4</f>
        <v>2.6522225818552925</v>
      </c>
      <c r="AI4" s="75">
        <f t="shared" ref="AI4:AI26" si="11">(X4*0.0005*1000) /$AU4</f>
        <v>0</v>
      </c>
      <c r="AJ4" s="75">
        <f t="shared" ref="AJ4:AJ26" si="12">(Y4*0.0005*1000) /$AU4</f>
        <v>3.7562512388183458</v>
      </c>
      <c r="AK4" s="75">
        <f t="shared" ref="AK4:AK26" si="13">(Z4*0.0005*1000) /$AU4</f>
        <v>19.444656735914684</v>
      </c>
      <c r="AL4" s="75">
        <f t="shared" ref="AL4:AL26" si="14">(AA4*0.0005*1000) /$AU4</f>
        <v>1.0835417034380839</v>
      </c>
      <c r="AM4" s="75">
        <f t="shared" ref="AM4:AM26" si="15">(AB4*0.0005*1000) /$AU4</f>
        <v>1.1648700482419159</v>
      </c>
      <c r="AP4" s="103">
        <v>2</v>
      </c>
      <c r="AQ4" s="92">
        <v>0.30756666262944538</v>
      </c>
      <c r="AR4" s="92">
        <v>0.17486666639645893</v>
      </c>
      <c r="AS4" s="93">
        <v>0.26824858711264227</v>
      </c>
      <c r="AT4" s="93">
        <v>8.0474576133792677E-2</v>
      </c>
      <c r="AU4" s="100">
        <v>8.7991526671048606E-2</v>
      </c>
      <c r="AW4" s="24" t="s">
        <v>21</v>
      </c>
      <c r="AX4" s="79" t="s">
        <v>159</v>
      </c>
      <c r="AY4" s="87">
        <v>17523720.450759701</v>
      </c>
      <c r="AZ4" s="10">
        <v>811243.27948515804</v>
      </c>
      <c r="BA4" s="10">
        <v>0</v>
      </c>
      <c r="BC4" s="79" t="s">
        <v>159</v>
      </c>
      <c r="BD4" s="85">
        <f t="shared" si="8"/>
        <v>217754740.59814507</v>
      </c>
      <c r="BE4" s="85">
        <f t="shared" si="9"/>
        <v>10080740.010813214</v>
      </c>
      <c r="BF4" s="85">
        <f t="shared" si="10"/>
        <v>0</v>
      </c>
    </row>
    <row r="5" spans="1:58" ht="16" x14ac:dyDescent="0.2">
      <c r="A5" s="24" t="s">
        <v>23</v>
      </c>
      <c r="B5" s="72" t="s">
        <v>159</v>
      </c>
      <c r="C5" s="53">
        <v>31582.570361100501</v>
      </c>
      <c r="D5" s="53">
        <v>47426.994247024602</v>
      </c>
      <c r="E5" s="53">
        <v>4330230.94992333</v>
      </c>
      <c r="F5" s="53">
        <v>5817777.0219695298</v>
      </c>
      <c r="G5" s="53">
        <v>0</v>
      </c>
      <c r="H5" s="53">
        <v>3393989.20069747</v>
      </c>
      <c r="I5" s="53">
        <v>5581503.7615561299</v>
      </c>
      <c r="J5" s="53">
        <v>1725545.96752064</v>
      </c>
      <c r="K5" s="53">
        <v>100310.81254498</v>
      </c>
      <c r="S5" s="116" t="s">
        <v>23</v>
      </c>
      <c r="T5" s="117" t="s">
        <v>159</v>
      </c>
      <c r="U5" s="75">
        <f t="shared" si="0"/>
        <v>5.9098164967010078E-2</v>
      </c>
      <c r="V5" s="75">
        <f t="shared" si="1"/>
        <v>6.1044726528596167E-2</v>
      </c>
      <c r="W5" s="75">
        <f t="shared" si="2"/>
        <v>0.50157590902341986</v>
      </c>
      <c r="X5" s="75">
        <v>0</v>
      </c>
      <c r="Y5" s="75">
        <f t="shared" si="3"/>
        <v>0.78752517209701056</v>
      </c>
      <c r="Z5" s="75">
        <f t="shared" si="4"/>
        <v>2.9654644589798114</v>
      </c>
      <c r="AA5" s="75">
        <f t="shared" si="5"/>
        <v>0.17973164022602067</v>
      </c>
      <c r="AB5" s="75">
        <f t="shared" si="6"/>
        <v>0.21102325227102539</v>
      </c>
      <c r="AD5" s="96" t="s">
        <v>23</v>
      </c>
      <c r="AE5" s="72" t="s">
        <v>159</v>
      </c>
      <c r="AF5" s="75">
        <f>(U5*0.0005*1000) /$AU$3</f>
        <v>0.33581736334650297</v>
      </c>
      <c r="AG5" s="75">
        <f t="shared" ref="AG5:AG26" si="16">(V5*0.0005*1000) /$AU5</f>
        <v>0.34687843726594525</v>
      </c>
      <c r="AH5" s="75">
        <f t="shared" ref="AH5:AH26" si="17">(W5*0.0005*1000) /$AU5</f>
        <v>2.85013755300856</v>
      </c>
      <c r="AI5" s="75">
        <f t="shared" si="11"/>
        <v>0</v>
      </c>
      <c r="AJ5" s="75">
        <f t="shared" si="12"/>
        <v>4.4750057300467656</v>
      </c>
      <c r="AK5" s="75">
        <f t="shared" si="13"/>
        <v>16.850852412562599</v>
      </c>
      <c r="AL5" s="75">
        <f t="shared" si="14"/>
        <v>1.0213008401248529</v>
      </c>
      <c r="AM5" s="75">
        <f t="shared" si="15"/>
        <v>1.1991112113551796</v>
      </c>
      <c r="AP5" s="103">
        <v>3</v>
      </c>
      <c r="AQ5" s="92">
        <v>0.2902333339055379</v>
      </c>
      <c r="AR5" s="92">
        <v>0.15753333767255145</v>
      </c>
      <c r="AS5" s="93">
        <v>0.23887006385178214</v>
      </c>
      <c r="AT5" s="93">
        <v>7.1661019155534633E-2</v>
      </c>
      <c r="AU5" s="100">
        <v>8.7991526671048606E-2</v>
      </c>
      <c r="AW5" s="24" t="s">
        <v>23</v>
      </c>
      <c r="AX5" s="79" t="s">
        <v>159</v>
      </c>
      <c r="AY5" s="87">
        <v>19277569.710596301</v>
      </c>
      <c r="AZ5" s="10">
        <v>1004545.23311107</v>
      </c>
      <c r="BA5" s="10">
        <v>4414.9022424367804</v>
      </c>
      <c r="BC5" s="79" t="s">
        <v>159</v>
      </c>
      <c r="BD5" s="85">
        <f t="shared" si="8"/>
        <v>269010543.49723727</v>
      </c>
      <c r="BE5" s="85">
        <f t="shared" si="9"/>
        <v>14018014.883807097</v>
      </c>
      <c r="BF5" s="85">
        <f t="shared" si="10"/>
        <v>61608.141978201296</v>
      </c>
    </row>
    <row r="6" spans="1:58" ht="16" x14ac:dyDescent="0.2">
      <c r="A6" s="24" t="s">
        <v>24</v>
      </c>
      <c r="B6" s="72" t="s">
        <v>203</v>
      </c>
      <c r="C6" s="53">
        <v>14045.6479458331</v>
      </c>
      <c r="D6" s="53">
        <v>53937.0829331282</v>
      </c>
      <c r="E6" s="53">
        <v>11624414.422952101</v>
      </c>
      <c r="F6" s="53">
        <v>2530517.3296739399</v>
      </c>
      <c r="G6" s="53">
        <v>0</v>
      </c>
      <c r="H6" s="53">
        <v>4295394.3003123896</v>
      </c>
      <c r="I6" s="53">
        <v>3800643.3126856699</v>
      </c>
      <c r="J6" s="53">
        <v>1663980.34758493</v>
      </c>
      <c r="K6" s="53">
        <v>32193.446874914</v>
      </c>
      <c r="N6" s="35" t="s">
        <v>5</v>
      </c>
      <c r="O6" s="35" t="s">
        <v>9</v>
      </c>
      <c r="P6" s="35" t="s">
        <v>10</v>
      </c>
      <c r="S6" s="116" t="s">
        <v>24</v>
      </c>
      <c r="T6" s="117" t="s">
        <v>203</v>
      </c>
      <c r="U6" s="75">
        <f t="shared" si="0"/>
        <v>5.7516999359276601E-2</v>
      </c>
      <c r="V6" s="75">
        <f t="shared" si="1"/>
        <v>6.1710436880035323E-2</v>
      </c>
      <c r="W6" s="75">
        <f t="shared" si="2"/>
        <v>0.23023276535651485</v>
      </c>
      <c r="X6" s="75">
        <v>0</v>
      </c>
      <c r="Y6" s="75">
        <f t="shared" si="3"/>
        <v>0.96654071389306129</v>
      </c>
      <c r="Z6" s="75">
        <f t="shared" si="4"/>
        <v>2.0389321998393157</v>
      </c>
      <c r="AA6" s="75">
        <f t="shared" si="5"/>
        <v>0.17655403577171952</v>
      </c>
      <c r="AB6" s="75">
        <f t="shared" si="6"/>
        <v>5.0209970104403277E-2</v>
      </c>
      <c r="AD6" s="96" t="s">
        <v>24</v>
      </c>
      <c r="AE6" s="72" t="s">
        <v>203</v>
      </c>
      <c r="AF6" s="77">
        <f>(U6*0.0005*1000) / $AU$6</f>
        <v>0.33595712118975546</v>
      </c>
      <c r="AG6" s="75">
        <f t="shared" si="16"/>
        <v>0.36045101365732185</v>
      </c>
      <c r="AH6" s="75">
        <f t="shared" si="17"/>
        <v>1.3447908951157082</v>
      </c>
      <c r="AI6" s="75">
        <f t="shared" si="11"/>
        <v>0</v>
      </c>
      <c r="AJ6" s="75">
        <f t="shared" si="12"/>
        <v>5.64556982056527</v>
      </c>
      <c r="AK6" s="75">
        <f t="shared" si="13"/>
        <v>11.909414604199668</v>
      </c>
      <c r="AL6" s="75">
        <f t="shared" si="14"/>
        <v>1.0312531295625296</v>
      </c>
      <c r="AM6" s="75">
        <f t="shared" si="15"/>
        <v>0.29327672165113389</v>
      </c>
      <c r="AP6" s="103">
        <v>4</v>
      </c>
      <c r="AQ6" s="92">
        <v>0.31936666369438171</v>
      </c>
      <c r="AR6" s="92">
        <v>0.18666666746139526</v>
      </c>
      <c r="AS6" s="93">
        <v>0.28824858891761912</v>
      </c>
      <c r="AT6" s="93">
        <v>8.6474576675285728E-2</v>
      </c>
      <c r="AU6" s="101">
        <v>8.5601696959996601E-2</v>
      </c>
      <c r="AW6" s="24" t="s">
        <v>24</v>
      </c>
      <c r="AX6" s="79" t="s">
        <v>203</v>
      </c>
      <c r="AY6" s="85">
        <v>3598273.1357065099</v>
      </c>
      <c r="AZ6" s="10">
        <v>206003.080326091</v>
      </c>
      <c r="BA6" s="10">
        <v>0</v>
      </c>
      <c r="BC6" s="79" t="s">
        <v>203</v>
      </c>
      <c r="BD6" s="85">
        <f t="shared" si="8"/>
        <v>41610763.232968673</v>
      </c>
      <c r="BE6" s="85">
        <f t="shared" si="9"/>
        <v>2382238.6676680464</v>
      </c>
      <c r="BF6" s="85">
        <f t="shared" si="10"/>
        <v>0</v>
      </c>
    </row>
    <row r="7" spans="1:58" ht="16" x14ac:dyDescent="0.2">
      <c r="A7" s="24" t="s">
        <v>25</v>
      </c>
      <c r="B7" s="72" t="s">
        <v>203</v>
      </c>
      <c r="C7" s="53">
        <v>20195.5833769085</v>
      </c>
      <c r="D7" s="53">
        <v>84822.216088497706</v>
      </c>
      <c r="E7" s="53">
        <v>19253227.852348901</v>
      </c>
      <c r="F7" s="53">
        <v>3596021.2258290499</v>
      </c>
      <c r="G7" s="53">
        <v>0</v>
      </c>
      <c r="H7" s="53">
        <v>5841664.0507217804</v>
      </c>
      <c r="I7" s="53">
        <v>4924612.6383357998</v>
      </c>
      <c r="J7" s="53">
        <v>2342424.7038255599</v>
      </c>
      <c r="K7" s="53">
        <v>46949.2876455148</v>
      </c>
      <c r="M7" s="35" t="s">
        <v>96</v>
      </c>
      <c r="N7" s="74">
        <f>'Calibration curve'!B25</f>
        <v>11920690.326035555</v>
      </c>
      <c r="O7" s="74">
        <f>'Calibration curve'!C25</f>
        <v>722610.97840996459</v>
      </c>
      <c r="P7" s="74">
        <f>'Calibration curve'!D25</f>
        <v>5035345.4821362635</v>
      </c>
      <c r="S7" s="116" t="s">
        <v>25</v>
      </c>
      <c r="T7" s="117" t="s">
        <v>203</v>
      </c>
      <c r="U7" s="75">
        <f t="shared" si="0"/>
        <v>5.8071490401840169E-2</v>
      </c>
      <c r="V7" s="75">
        <f t="shared" si="1"/>
        <v>6.4868696903588402E-2</v>
      </c>
      <c r="W7" s="75">
        <f t="shared" si="2"/>
        <v>0.31818358270437219</v>
      </c>
      <c r="X7" s="75">
        <v>0</v>
      </c>
      <c r="Y7" s="75">
        <f t="shared" si="3"/>
        <v>1.2736238635786277</v>
      </c>
      <c r="Z7" s="75">
        <f t="shared" si="4"/>
        <v>2.6237022412874009</v>
      </c>
      <c r="AA7" s="75">
        <f t="shared" si="5"/>
        <v>0.21157078392818957</v>
      </c>
      <c r="AB7" s="75">
        <f t="shared" si="6"/>
        <v>8.5045950064960574E-2</v>
      </c>
      <c r="AD7" s="96" t="s">
        <v>25</v>
      </c>
      <c r="AE7" s="72" t="s">
        <v>203</v>
      </c>
      <c r="AF7" s="77">
        <f>(U7*0.0005*1000) / $AU$6</f>
        <v>0.33919590653079079</v>
      </c>
      <c r="AG7" s="75">
        <f t="shared" si="16"/>
        <v>0.37889842846166272</v>
      </c>
      <c r="AH7" s="75">
        <f t="shared" si="17"/>
        <v>1.8585121206946738</v>
      </c>
      <c r="AI7" s="75">
        <f t="shared" si="11"/>
        <v>0</v>
      </c>
      <c r="AJ7" s="75">
        <f t="shared" si="12"/>
        <v>7.4392442487081638</v>
      </c>
      <c r="AK7" s="75">
        <f t="shared" si="13"/>
        <v>15.325059750354656</v>
      </c>
      <c r="AL7" s="75">
        <f t="shared" si="14"/>
        <v>1.2357861551918816</v>
      </c>
      <c r="AM7" s="75">
        <f t="shared" si="15"/>
        <v>0.49675387921751285</v>
      </c>
      <c r="AP7" s="103">
        <v>5</v>
      </c>
      <c r="AQ7" s="92">
        <v>0.31593333681424457</v>
      </c>
      <c r="AR7" s="92">
        <v>0.18323334058125812</v>
      </c>
      <c r="AS7" s="93">
        <v>0.28242939081569174</v>
      </c>
      <c r="AT7" s="93">
        <v>8.4728817244707516E-2</v>
      </c>
      <c r="AU7" s="101">
        <v>8.5601696959996601E-2</v>
      </c>
      <c r="AW7" s="24" t="s">
        <v>25</v>
      </c>
      <c r="AX7" s="79" t="s">
        <v>203</v>
      </c>
      <c r="AY7" s="85">
        <v>3776005.5816416899</v>
      </c>
      <c r="AZ7" s="10">
        <v>270496.591986474</v>
      </c>
      <c r="BA7" s="10">
        <v>0</v>
      </c>
      <c r="BC7" s="79" t="s">
        <v>203</v>
      </c>
      <c r="BD7" s="85">
        <f t="shared" si="8"/>
        <v>44565777.080731682</v>
      </c>
      <c r="BE7" s="85">
        <f t="shared" si="9"/>
        <v>3192498.1462357217</v>
      </c>
      <c r="BF7" s="85">
        <f t="shared" si="10"/>
        <v>0</v>
      </c>
    </row>
    <row r="8" spans="1:58" ht="16" x14ac:dyDescent="0.2">
      <c r="A8" s="24" t="s">
        <v>26</v>
      </c>
      <c r="B8" s="72" t="s">
        <v>203</v>
      </c>
      <c r="C8" s="53">
        <v>8534.5758186005696</v>
      </c>
      <c r="D8" s="53">
        <v>53556.205591064201</v>
      </c>
      <c r="E8" s="53">
        <v>19605768.225298598</v>
      </c>
      <c r="F8" s="53">
        <v>2789562.9453296699</v>
      </c>
      <c r="G8" s="53">
        <v>0</v>
      </c>
      <c r="H8" s="53">
        <v>4958380.16794929</v>
      </c>
      <c r="I8" s="53">
        <v>3246120.1852561398</v>
      </c>
      <c r="J8" s="53">
        <v>2174675.6375106</v>
      </c>
      <c r="K8" s="53">
        <v>43420.214847448799</v>
      </c>
      <c r="M8" s="35" t="s">
        <v>97</v>
      </c>
      <c r="N8" s="76">
        <f>'Calibration curve'!B26</f>
        <v>-570892.39805068448</v>
      </c>
      <c r="O8" s="76">
        <f>'Calibration curve'!C26</f>
        <v>-665300.70710488828</v>
      </c>
      <c r="P8" s="76">
        <f>'Calibration curve'!D26</f>
        <v>-571472.11668979563</v>
      </c>
      <c r="S8" s="116" t="s">
        <v>26</v>
      </c>
      <c r="T8" s="117" t="s">
        <v>203</v>
      </c>
      <c r="U8" s="75">
        <f t="shared" si="0"/>
        <v>5.702010956852676E-2</v>
      </c>
      <c r="V8" s="75">
        <f t="shared" si="1"/>
        <v>6.1671489025180153E-2</v>
      </c>
      <c r="W8" s="75">
        <f t="shared" si="2"/>
        <v>0.25161539352851331</v>
      </c>
      <c r="X8" s="75">
        <v>0</v>
      </c>
      <c r="Y8" s="75">
        <f t="shared" si="3"/>
        <v>1.0982071248650502</v>
      </c>
      <c r="Z8" s="75">
        <f t="shared" si="4"/>
        <v>1.7504292088672768</v>
      </c>
      <c r="AA8" s="75">
        <f t="shared" si="5"/>
        <v>0.20291270201682565</v>
      </c>
      <c r="AB8" s="75">
        <f t="shared" si="6"/>
        <v>7.6714421473400046E-2</v>
      </c>
      <c r="AD8" s="96" t="s">
        <v>26</v>
      </c>
      <c r="AE8" s="72" t="s">
        <v>203</v>
      </c>
      <c r="AF8" s="77">
        <f>(U8*0.0005*1000) / $AU$6</f>
        <v>0.33305478508897673</v>
      </c>
      <c r="AG8" s="75">
        <f t="shared" si="16"/>
        <v>0.36022351901505228</v>
      </c>
      <c r="AH8" s="75">
        <f t="shared" si="17"/>
        <v>1.4696869481810522</v>
      </c>
      <c r="AI8" s="75">
        <f t="shared" si="11"/>
        <v>0</v>
      </c>
      <c r="AJ8" s="75">
        <f t="shared" si="12"/>
        <v>6.4146340777465225</v>
      </c>
      <c r="AK8" s="75">
        <f t="shared" si="13"/>
        <v>10.224266989036957</v>
      </c>
      <c r="AL8" s="75">
        <f t="shared" si="14"/>
        <v>1.1852142493836941</v>
      </c>
      <c r="AM8" s="75">
        <f t="shared" si="15"/>
        <v>0.44808937321213527</v>
      </c>
      <c r="AP8" s="103">
        <v>6</v>
      </c>
      <c r="AQ8" s="92">
        <v>0.21596666177113852</v>
      </c>
      <c r="AR8" s="92">
        <v>8.3266665538152068E-2</v>
      </c>
      <c r="AS8" s="93">
        <v>0.11299434836974927</v>
      </c>
      <c r="AT8" s="94">
        <v>3.3898304510924779E-2</v>
      </c>
      <c r="AU8" s="101">
        <v>8.5601696959996601E-2</v>
      </c>
      <c r="AW8" s="24" t="s">
        <v>26</v>
      </c>
      <c r="AX8" s="79" t="s">
        <v>203</v>
      </c>
      <c r="AY8" s="85">
        <v>3316158.3224190702</v>
      </c>
      <c r="AZ8" s="10">
        <v>242142.73979003099</v>
      </c>
      <c r="BA8" s="10">
        <v>0</v>
      </c>
      <c r="BC8" s="79" t="s">
        <v>203</v>
      </c>
      <c r="BD8" s="85">
        <f t="shared" si="8"/>
        <v>97826672.167344987</v>
      </c>
      <c r="BE8" s="85">
        <f t="shared" si="9"/>
        <v>7143210.9447241817</v>
      </c>
      <c r="BF8" s="85">
        <f t="shared" si="10"/>
        <v>0</v>
      </c>
    </row>
    <row r="9" spans="1:58" ht="16" x14ac:dyDescent="0.2">
      <c r="A9" s="24" t="s">
        <v>95</v>
      </c>
      <c r="B9" s="72" t="s">
        <v>195</v>
      </c>
      <c r="C9" s="53">
        <v>29026.430712421701</v>
      </c>
      <c r="D9" s="53">
        <v>51875.809911341799</v>
      </c>
      <c r="E9" s="53">
        <v>522244.75351046398</v>
      </c>
      <c r="F9" s="53">
        <v>3220476.6310154102</v>
      </c>
      <c r="G9" s="53">
        <v>0</v>
      </c>
      <c r="H9" s="53">
        <v>1741403.4351878799</v>
      </c>
      <c r="I9" s="53">
        <v>7818457.9167688396</v>
      </c>
      <c r="J9" s="53">
        <v>2514233.7433269401</v>
      </c>
      <c r="K9" s="53">
        <v>38908.554616644498</v>
      </c>
      <c r="S9" s="116" t="s">
        <v>95</v>
      </c>
      <c r="T9" s="117" t="s">
        <v>195</v>
      </c>
      <c r="U9" s="75">
        <f t="shared" si="0"/>
        <v>5.8867698069492401E-2</v>
      </c>
      <c r="V9" s="75">
        <f t="shared" si="1"/>
        <v>6.1499654684291256E-2</v>
      </c>
      <c r="W9" s="75">
        <f t="shared" si="2"/>
        <v>0.28718467769462336</v>
      </c>
      <c r="X9" s="75">
        <v>0</v>
      </c>
      <c r="Y9" s="75">
        <f t="shared" si="3"/>
        <v>0.45932807591514652</v>
      </c>
      <c r="Z9" s="75">
        <f t="shared" si="4"/>
        <v>4.129289613464846</v>
      </c>
      <c r="AA9" s="75">
        <f t="shared" si="5"/>
        <v>0.22043841443006526</v>
      </c>
      <c r="AB9" s="75">
        <f t="shared" si="6"/>
        <v>6.6063174429430854E-2</v>
      </c>
      <c r="AD9" s="96" t="s">
        <v>95</v>
      </c>
      <c r="AE9" s="72" t="s">
        <v>195</v>
      </c>
      <c r="AF9" s="77">
        <f>(U9*0.0005*1000) /$AU$9</f>
        <v>0.53212718515538848</v>
      </c>
      <c r="AG9" s="75">
        <f t="shared" si="16"/>
        <v>0.55591842739541475</v>
      </c>
      <c r="AH9" s="75">
        <f t="shared" si="17"/>
        <v>2.5959699321179035</v>
      </c>
      <c r="AI9" s="75">
        <f t="shared" si="11"/>
        <v>0</v>
      </c>
      <c r="AJ9" s="75">
        <f t="shared" si="12"/>
        <v>4.1520386241539864</v>
      </c>
      <c r="AK9" s="75">
        <f t="shared" si="13"/>
        <v>37.326196382106595</v>
      </c>
      <c r="AL9" s="75">
        <f t="shared" si="14"/>
        <v>1.9926254434531359</v>
      </c>
      <c r="AM9" s="75">
        <f t="shared" si="15"/>
        <v>0.59716979267753456</v>
      </c>
      <c r="AP9" s="103">
        <v>7</v>
      </c>
      <c r="AQ9" s="92">
        <v>0.26799999674161273</v>
      </c>
      <c r="AR9" s="92">
        <v>0.13530000050862628</v>
      </c>
      <c r="AS9" s="93">
        <v>0.20118644154004456</v>
      </c>
      <c r="AT9" s="93">
        <v>6.0355932462013401E-2</v>
      </c>
      <c r="AU9" s="95">
        <f>AVERAGE(AT11,Table3[[#This Row],[Total protein mg]])</f>
        <v>5.5313560095884048E-2</v>
      </c>
      <c r="AW9" s="24" t="s">
        <v>95</v>
      </c>
      <c r="AX9" s="79" t="s">
        <v>195</v>
      </c>
      <c r="AY9" s="85">
        <v>18287000.602993499</v>
      </c>
      <c r="AZ9" s="10">
        <v>217237.08891863</v>
      </c>
      <c r="BA9" s="10">
        <v>0</v>
      </c>
      <c r="BC9" s="79" t="s">
        <v>195</v>
      </c>
      <c r="BD9" s="85">
        <f t="shared" si="8"/>
        <v>302985967.6926192</v>
      </c>
      <c r="BE9" s="85">
        <f t="shared" si="9"/>
        <v>3599266.5518895579</v>
      </c>
      <c r="BF9" s="85">
        <f t="shared" si="10"/>
        <v>0</v>
      </c>
    </row>
    <row r="10" spans="1:58" ht="16" x14ac:dyDescent="0.2">
      <c r="A10" s="24" t="s">
        <v>27</v>
      </c>
      <c r="B10" s="72" t="s">
        <v>195</v>
      </c>
      <c r="C10" s="53">
        <v>32899.703129867201</v>
      </c>
      <c r="D10" s="53">
        <v>54251.245905126299</v>
      </c>
      <c r="E10" s="53">
        <v>595941.21227679797</v>
      </c>
      <c r="F10" s="53">
        <v>3376189.4874849101</v>
      </c>
      <c r="G10" s="53">
        <v>0</v>
      </c>
      <c r="H10" s="53">
        <v>1864806.8493234201</v>
      </c>
      <c r="I10" s="53">
        <v>7938589.7105871001</v>
      </c>
      <c r="J10" s="53">
        <v>2422343.7464991901</v>
      </c>
      <c r="K10" s="53">
        <v>42385.261115650101</v>
      </c>
      <c r="N10" s="35" t="s">
        <v>3</v>
      </c>
      <c r="O10" s="35" t="s">
        <v>6</v>
      </c>
      <c r="P10" s="35" t="s">
        <v>7</v>
      </c>
      <c r="S10" s="116" t="s">
        <v>27</v>
      </c>
      <c r="T10" s="117" t="s">
        <v>195</v>
      </c>
      <c r="U10" s="75">
        <f t="shared" si="0"/>
        <v>5.921692041254821E-2</v>
      </c>
      <c r="V10" s="75">
        <f t="shared" si="1"/>
        <v>6.1742562639388564E-2</v>
      </c>
      <c r="W10" s="75">
        <f t="shared" si="2"/>
        <v>0.30003781980652089</v>
      </c>
      <c r="X10" s="75">
        <v>0</v>
      </c>
      <c r="Y10" s="75">
        <f t="shared" si="3"/>
        <v>0.48383551330416663</v>
      </c>
      <c r="Z10" s="75">
        <f t="shared" si="4"/>
        <v>4.191790851218558</v>
      </c>
      <c r="AA10" s="75">
        <f t="shared" si="5"/>
        <v>0.21569566898982626</v>
      </c>
      <c r="AB10" s="75">
        <f t="shared" si="6"/>
        <v>7.4271075274322335E-2</v>
      </c>
      <c r="AD10" s="96" t="s">
        <v>27</v>
      </c>
      <c r="AE10" s="72" t="s">
        <v>195</v>
      </c>
      <c r="AF10" s="77">
        <f>(U10*0.0005*1000) /$AU$9</f>
        <v>0.53528393679504471</v>
      </c>
      <c r="AG10" s="75">
        <f t="shared" si="16"/>
        <v>0.55811416343804421</v>
      </c>
      <c r="AH10" s="75">
        <f t="shared" si="17"/>
        <v>2.7121543007394253</v>
      </c>
      <c r="AI10" s="75">
        <f t="shared" si="11"/>
        <v>0</v>
      </c>
      <c r="AJ10" s="75">
        <f t="shared" si="12"/>
        <v>4.3735705355563423</v>
      </c>
      <c r="AK10" s="75">
        <f t="shared" si="13"/>
        <v>37.891168494237618</v>
      </c>
      <c r="AL10" s="75">
        <f t="shared" si="14"/>
        <v>1.9497539899432059</v>
      </c>
      <c r="AM10" s="75">
        <f t="shared" si="15"/>
        <v>0.67136408455337337</v>
      </c>
      <c r="AP10" s="103">
        <v>8</v>
      </c>
      <c r="AQ10" s="92">
        <v>0.3640666703383128</v>
      </c>
      <c r="AR10" s="92">
        <v>0.23136667410532635</v>
      </c>
      <c r="AS10" s="93">
        <v>0.36401131204292603</v>
      </c>
      <c r="AT10" s="107">
        <v>0.1092033936128778</v>
      </c>
      <c r="AU10" s="95">
        <v>5.5313560095884E-2</v>
      </c>
      <c r="AW10" s="24" t="s">
        <v>27</v>
      </c>
      <c r="AX10" s="79" t="s">
        <v>195</v>
      </c>
      <c r="AY10" s="85">
        <v>21173956.474948701</v>
      </c>
      <c r="AZ10" s="10">
        <v>463399.36175676598</v>
      </c>
      <c r="BA10" s="10">
        <v>0</v>
      </c>
      <c r="BC10" s="79" t="s">
        <v>195</v>
      </c>
      <c r="BD10" s="85">
        <f t="shared" si="8"/>
        <v>193894674.64728829</v>
      </c>
      <c r="BE10" s="85">
        <f t="shared" si="9"/>
        <v>4243452.0249388991</v>
      </c>
      <c r="BF10" s="85">
        <f t="shared" si="10"/>
        <v>0</v>
      </c>
    </row>
    <row r="11" spans="1:58" ht="16" x14ac:dyDescent="0.2">
      <c r="A11" s="24" t="s">
        <v>28</v>
      </c>
      <c r="B11" s="72" t="s">
        <v>195</v>
      </c>
      <c r="C11" s="53">
        <v>30980.766058597601</v>
      </c>
      <c r="D11" s="53">
        <v>51274.572508177298</v>
      </c>
      <c r="E11" s="53">
        <v>841256.70239157102</v>
      </c>
      <c r="F11" s="53">
        <v>3480991.90083797</v>
      </c>
      <c r="G11" s="53">
        <v>0</v>
      </c>
      <c r="H11" s="53">
        <v>1955867.0570815301</v>
      </c>
      <c r="I11" s="53">
        <v>8574294.7053364404</v>
      </c>
      <c r="J11" s="53">
        <v>2505768.59317635</v>
      </c>
      <c r="K11" s="53">
        <v>45065.537177633603</v>
      </c>
      <c r="M11" s="35" t="s">
        <v>96</v>
      </c>
      <c r="N11" s="74">
        <f>'Calibration curve'!B39</f>
        <v>20131433.987813141</v>
      </c>
      <c r="O11" s="74">
        <f>'Calibration curve'!C39</f>
        <v>9779160.969977174</v>
      </c>
      <c r="P11" s="74">
        <f>'Calibration curve'!D39</f>
        <v>20509112.947973926</v>
      </c>
      <c r="S11" s="116" t="s">
        <v>28</v>
      </c>
      <c r="T11" s="117" t="s">
        <v>195</v>
      </c>
      <c r="U11" s="75">
        <f t="shared" si="0"/>
        <v>5.9043905032275169E-2</v>
      </c>
      <c r="V11" s="75">
        <f t="shared" si="1"/>
        <v>6.1438173192677574E-2</v>
      </c>
      <c r="W11" s="75">
        <f t="shared" si="2"/>
        <v>0.30868861681222959</v>
      </c>
      <c r="X11" s="75">
        <v>0</v>
      </c>
      <c r="Y11" s="75">
        <f t="shared" si="3"/>
        <v>0.50191971588394224</v>
      </c>
      <c r="Z11" s="75">
        <f t="shared" si="4"/>
        <v>4.5225305143435293</v>
      </c>
      <c r="AA11" s="75">
        <f t="shared" si="5"/>
        <v>0.22000150014490205</v>
      </c>
      <c r="AB11" s="75">
        <f t="shared" si="6"/>
        <v>8.0598742035951201E-2</v>
      </c>
      <c r="AD11" s="96" t="s">
        <v>28</v>
      </c>
      <c r="AE11" s="72" t="s">
        <v>195</v>
      </c>
      <c r="AF11" s="77">
        <f>(U11*0.0005*1000) /$AU$9</f>
        <v>0.53371998593043646</v>
      </c>
      <c r="AG11" s="75">
        <f t="shared" si="16"/>
        <v>0.55536267315082211</v>
      </c>
      <c r="AH11" s="75">
        <f t="shared" si="17"/>
        <v>2.7903520970005307</v>
      </c>
      <c r="AI11" s="75">
        <f t="shared" si="11"/>
        <v>0</v>
      </c>
      <c r="AJ11" s="75">
        <f t="shared" si="12"/>
        <v>4.5370404202322456</v>
      </c>
      <c r="AK11" s="75">
        <f t="shared" si="13"/>
        <v>40.880848263101228</v>
      </c>
      <c r="AL11" s="75">
        <f t="shared" si="14"/>
        <v>1.9886760114837811</v>
      </c>
      <c r="AM11" s="75">
        <f t="shared" si="15"/>
        <v>0.72856223588064373</v>
      </c>
      <c r="AP11" s="103">
        <v>9</v>
      </c>
      <c r="AQ11" s="92">
        <v>0.24816666543483734</v>
      </c>
      <c r="AR11" s="92">
        <v>0.11546666920185089</v>
      </c>
      <c r="AS11" s="93">
        <v>0.16757062576584897</v>
      </c>
      <c r="AT11" s="93">
        <v>5.0271187729754689E-2</v>
      </c>
      <c r="AU11" s="95">
        <v>5.5313560095884E-2</v>
      </c>
      <c r="AW11" s="24" t="s">
        <v>28</v>
      </c>
      <c r="AX11" s="79" t="s">
        <v>195</v>
      </c>
      <c r="AY11" s="85">
        <v>21001154.8572088</v>
      </c>
      <c r="AZ11" s="10">
        <v>234769.040483355</v>
      </c>
      <c r="BA11" s="10">
        <v>2724.1155670243702</v>
      </c>
      <c r="BC11" s="79" t="s">
        <v>195</v>
      </c>
      <c r="BD11" s="85">
        <f t="shared" si="8"/>
        <v>417757284.15460855</v>
      </c>
      <c r="BE11" s="85">
        <f t="shared" si="9"/>
        <v>4670051.5958647039</v>
      </c>
      <c r="BF11" s="85">
        <f t="shared" si="10"/>
        <v>54188.406720536084</v>
      </c>
    </row>
    <row r="12" spans="1:58" ht="16" x14ac:dyDescent="0.2">
      <c r="A12" s="24" t="s">
        <v>29</v>
      </c>
      <c r="B12" s="72" t="s">
        <v>199</v>
      </c>
      <c r="C12" s="53">
        <v>26245.795609199398</v>
      </c>
      <c r="D12" s="53">
        <v>42067.048014046399</v>
      </c>
      <c r="E12" s="53">
        <v>523529.952180797</v>
      </c>
      <c r="F12" s="53">
        <v>6242308.9574025301</v>
      </c>
      <c r="G12" s="53">
        <v>0</v>
      </c>
      <c r="H12" s="53">
        <v>1883084.87769775</v>
      </c>
      <c r="I12" s="53">
        <v>7054215.2084048996</v>
      </c>
      <c r="J12" s="53">
        <v>2737751.4212965001</v>
      </c>
      <c r="K12" s="53">
        <v>74879.586936997803</v>
      </c>
      <c r="M12" s="35" t="s">
        <v>97</v>
      </c>
      <c r="N12" s="74">
        <f>'Calibration curve'!B40</f>
        <v>2979154.3659470156</v>
      </c>
      <c r="O12" s="74">
        <f>'Calibration curve'!C40</f>
        <v>-549539.21284435317</v>
      </c>
      <c r="P12" s="74">
        <f>'Calibration curve'!D40</f>
        <v>4378658.6708406657</v>
      </c>
      <c r="S12" s="116" t="s">
        <v>29</v>
      </c>
      <c r="T12" s="117" t="s">
        <v>199</v>
      </c>
      <c r="U12" s="75">
        <f t="shared" si="0"/>
        <v>5.8616990192205808E-2</v>
      </c>
      <c r="V12" s="75">
        <f t="shared" si="1"/>
        <v>6.0496627744924057E-2</v>
      </c>
      <c r="W12" s="75">
        <f t="shared" si="2"/>
        <v>0.5366184188127644</v>
      </c>
      <c r="X12" s="75">
        <v>0</v>
      </c>
      <c r="Y12" s="75">
        <f t="shared" si="3"/>
        <v>0.48746545854609186</v>
      </c>
      <c r="Z12" s="75">
        <f t="shared" si="4"/>
        <v>3.7316753458442626</v>
      </c>
      <c r="AA12" s="75">
        <f t="shared" si="5"/>
        <v>0.23197489810184194</v>
      </c>
      <c r="AB12" s="75">
        <f t="shared" si="6"/>
        <v>0.15098454086007213</v>
      </c>
      <c r="AD12" s="96" t="s">
        <v>29</v>
      </c>
      <c r="AE12" s="72" t="s">
        <v>199</v>
      </c>
      <c r="AF12" s="77">
        <f>(U12*0.0005*1000) /$AU$12</f>
        <v>0.28349883915719715</v>
      </c>
      <c r="AG12" s="75">
        <f t="shared" si="16"/>
        <v>0.29258963454748577</v>
      </c>
      <c r="AH12" s="75">
        <f t="shared" si="17"/>
        <v>2.5953345319326524</v>
      </c>
      <c r="AI12" s="75">
        <f t="shared" si="11"/>
        <v>0</v>
      </c>
      <c r="AJ12" s="75">
        <f t="shared" si="12"/>
        <v>2.3576081128338706</v>
      </c>
      <c r="AK12" s="75">
        <f t="shared" si="13"/>
        <v>18.048105595142804</v>
      </c>
      <c r="AL12" s="75">
        <f t="shared" si="14"/>
        <v>1.1219377540511433</v>
      </c>
      <c r="AM12" s="75">
        <f t="shared" si="15"/>
        <v>0.73023097781305746</v>
      </c>
      <c r="AP12" s="103">
        <v>10</v>
      </c>
      <c r="AQ12" s="92">
        <v>0.22269999980926514</v>
      </c>
      <c r="AR12" s="92">
        <v>9.0000003576278687E-2</v>
      </c>
      <c r="AS12" s="93">
        <v>0.12440678572250626</v>
      </c>
      <c r="AT12" s="94">
        <v>3.7322035716751877E-2</v>
      </c>
      <c r="AU12" s="95">
        <v>0.10338135839720899</v>
      </c>
      <c r="AW12" s="24" t="s">
        <v>29</v>
      </c>
      <c r="AX12" s="79" t="s">
        <v>199</v>
      </c>
      <c r="AY12" s="85">
        <v>17325204.200404901</v>
      </c>
      <c r="AZ12" s="10">
        <v>2324404.17873216</v>
      </c>
      <c r="BA12" s="10">
        <v>849349.89084762905</v>
      </c>
      <c r="BC12" s="79" t="s">
        <v>199</v>
      </c>
      <c r="BD12" s="85">
        <f t="shared" si="8"/>
        <v>464208445.96717799</v>
      </c>
      <c r="BE12" s="85">
        <f t="shared" si="9"/>
        <v>62279672.962449327</v>
      </c>
      <c r="BF12" s="85">
        <f t="shared" si="10"/>
        <v>22757330.208180502</v>
      </c>
    </row>
    <row r="13" spans="1:58" ht="16" x14ac:dyDescent="0.2">
      <c r="A13" s="24" t="s">
        <v>30</v>
      </c>
      <c r="B13" s="72" t="s">
        <v>199</v>
      </c>
      <c r="C13" s="53">
        <v>25975.376581852001</v>
      </c>
      <c r="D13" s="53">
        <v>49825.873835250699</v>
      </c>
      <c r="E13" s="53">
        <v>471835.40929297701</v>
      </c>
      <c r="F13" s="53">
        <v>5535945.56977168</v>
      </c>
      <c r="G13" s="53">
        <v>0</v>
      </c>
      <c r="H13" s="53">
        <v>1613109.18487139</v>
      </c>
      <c r="I13" s="53">
        <v>6606827.7505183304</v>
      </c>
      <c r="J13" s="53">
        <v>2319708.7002898301</v>
      </c>
      <c r="K13" s="53">
        <v>63870.664457838699</v>
      </c>
      <c r="S13" s="116" t="s">
        <v>30</v>
      </c>
      <c r="T13" s="117" t="s">
        <v>199</v>
      </c>
      <c r="U13" s="75">
        <f t="shared" si="0"/>
        <v>5.8592608647052465E-2</v>
      </c>
      <c r="V13" s="75">
        <f t="shared" si="1"/>
        <v>6.1290031784905052E-2</v>
      </c>
      <c r="W13" s="75">
        <f t="shared" si="2"/>
        <v>0.47831244967373576</v>
      </c>
      <c r="X13" s="75">
        <v>0</v>
      </c>
      <c r="Y13" s="75">
        <f t="shared" si="3"/>
        <v>0.43384933751047589</v>
      </c>
      <c r="Z13" s="75">
        <f t="shared" si="4"/>
        <v>3.4989120699066776</v>
      </c>
      <c r="AA13" s="75">
        <f t="shared" si="5"/>
        <v>0.21039833615466869</v>
      </c>
      <c r="AB13" s="75">
        <f t="shared" si="6"/>
        <v>0.12499438490532605</v>
      </c>
      <c r="AD13" s="96" t="s">
        <v>30</v>
      </c>
      <c r="AE13" s="72" t="s">
        <v>199</v>
      </c>
      <c r="AF13" s="77">
        <f>(U13*0.0005*1000) /$AU$12</f>
        <v>0.28338091874324944</v>
      </c>
      <c r="AG13" s="75">
        <f t="shared" si="16"/>
        <v>0.2964269029500376</v>
      </c>
      <c r="AH13" s="75">
        <f t="shared" si="17"/>
        <v>2.313339934246061</v>
      </c>
      <c r="AI13" s="75">
        <f t="shared" si="11"/>
        <v>0</v>
      </c>
      <c r="AJ13" s="75">
        <f t="shared" si="12"/>
        <v>2.0982957867682099</v>
      </c>
      <c r="AK13" s="75">
        <f t="shared" si="13"/>
        <v>16.922354881734357</v>
      </c>
      <c r="AL13" s="75">
        <f t="shared" si="14"/>
        <v>1.017583534481536</v>
      </c>
      <c r="AM13" s="75">
        <f t="shared" si="15"/>
        <v>0.60453057902893903</v>
      </c>
      <c r="AP13" s="103">
        <v>11</v>
      </c>
      <c r="AQ13" s="92">
        <v>0.34586666027704877</v>
      </c>
      <c r="AR13" s="92">
        <v>0.21316666404406232</v>
      </c>
      <c r="AS13" s="93">
        <v>0.33316383736281752</v>
      </c>
      <c r="AT13" s="93">
        <v>9.9949151208845247E-2</v>
      </c>
      <c r="AU13" s="95">
        <v>0.10338135839720899</v>
      </c>
      <c r="AW13" s="24" t="s">
        <v>30</v>
      </c>
      <c r="AX13" s="79" t="s">
        <v>199</v>
      </c>
      <c r="AY13" s="85">
        <v>14609645.334540199</v>
      </c>
      <c r="AZ13" s="10">
        <v>1796839.59855738</v>
      </c>
      <c r="BA13" s="10">
        <v>554884.184864018</v>
      </c>
      <c r="BC13" s="79" t="s">
        <v>199</v>
      </c>
      <c r="BD13" s="85">
        <f t="shared" si="8"/>
        <v>146170779.41975841</v>
      </c>
      <c r="BE13" s="85">
        <f t="shared" si="9"/>
        <v>17977537.345993631</v>
      </c>
      <c r="BF13" s="85">
        <f t="shared" si="10"/>
        <v>5551664.8030815106</v>
      </c>
    </row>
    <row r="14" spans="1:58" ht="16" x14ac:dyDescent="0.2">
      <c r="A14" s="24" t="s">
        <v>31</v>
      </c>
      <c r="B14" s="72" t="s">
        <v>199</v>
      </c>
      <c r="C14" s="53">
        <v>24707.941169977501</v>
      </c>
      <c r="D14" s="53">
        <v>60967.033275793598</v>
      </c>
      <c r="E14" s="53">
        <v>649339.444507187</v>
      </c>
      <c r="F14" s="53">
        <v>6309735.8469749503</v>
      </c>
      <c r="G14" s="53">
        <v>0</v>
      </c>
      <c r="H14" s="53">
        <v>1750340.3369403</v>
      </c>
      <c r="I14" s="53">
        <v>6929833.8713553604</v>
      </c>
      <c r="J14" s="53">
        <v>2558995.5876702298</v>
      </c>
      <c r="K14" s="53">
        <v>100345.934146912</v>
      </c>
      <c r="N14" s="35" t="s">
        <v>98</v>
      </c>
      <c r="O14" s="35" t="s">
        <v>178</v>
      </c>
      <c r="S14" s="116" t="s">
        <v>31</v>
      </c>
      <c r="T14" s="117" t="s">
        <v>199</v>
      </c>
      <c r="U14" s="75">
        <f t="shared" si="0"/>
        <v>5.8478334019165946E-2</v>
      </c>
      <c r="V14" s="75">
        <f t="shared" si="1"/>
        <v>6.2429307380709953E-2</v>
      </c>
      <c r="W14" s="75">
        <f t="shared" si="2"/>
        <v>0.54218409536309664</v>
      </c>
      <c r="X14" s="75">
        <v>0</v>
      </c>
      <c r="Y14" s="75">
        <f t="shared" si="3"/>
        <v>0.46110290979379992</v>
      </c>
      <c r="Z14" s="75">
        <f t="shared" si="4"/>
        <v>3.6669631887044254</v>
      </c>
      <c r="AA14" s="75">
        <f t="shared" si="5"/>
        <v>0.22274872067105664</v>
      </c>
      <c r="AB14" s="75">
        <f t="shared" si="6"/>
        <v>0.21110616827968301</v>
      </c>
      <c r="AD14" s="96" t="s">
        <v>31</v>
      </c>
      <c r="AE14" s="72" t="s">
        <v>199</v>
      </c>
      <c r="AF14" s="77">
        <f>(U14*0.0005*1000) /$AU$12</f>
        <v>0.28282823386050948</v>
      </c>
      <c r="AG14" s="75">
        <f t="shared" si="16"/>
        <v>0.30193696595108471</v>
      </c>
      <c r="AH14" s="75">
        <f t="shared" si="17"/>
        <v>2.6222527144590804</v>
      </c>
      <c r="AI14" s="75">
        <f t="shared" si="11"/>
        <v>0</v>
      </c>
      <c r="AJ14" s="75">
        <f t="shared" si="12"/>
        <v>2.2301066504763996</v>
      </c>
      <c r="AK14" s="75">
        <f t="shared" si="13"/>
        <v>17.735127713331647</v>
      </c>
      <c r="AL14" s="75">
        <f t="shared" si="14"/>
        <v>1.0773156985189616</v>
      </c>
      <c r="AM14" s="75">
        <f t="shared" si="15"/>
        <v>1.0210069375785173</v>
      </c>
      <c r="AP14" s="103">
        <v>12</v>
      </c>
      <c r="AQ14" s="92">
        <v>0.35936667521794635</v>
      </c>
      <c r="AR14" s="92">
        <v>0.2266666789849599</v>
      </c>
      <c r="AS14" s="93">
        <v>0.35604521861857613</v>
      </c>
      <c r="AT14" s="93">
        <v>0.10681356558557284</v>
      </c>
      <c r="AU14" s="95">
        <v>0.10338135839720899</v>
      </c>
      <c r="AW14" s="24" t="s">
        <v>31</v>
      </c>
      <c r="AX14" s="79" t="s">
        <v>199</v>
      </c>
      <c r="AY14" s="85">
        <v>15307385.2555678</v>
      </c>
      <c r="AZ14" s="10">
        <v>4887364.0613547098</v>
      </c>
      <c r="BA14" s="10">
        <v>1172735.17070509</v>
      </c>
      <c r="BC14" s="79" t="s">
        <v>199</v>
      </c>
      <c r="BD14" s="85">
        <f t="shared" si="8"/>
        <v>143309374.34444514</v>
      </c>
      <c r="BE14" s="85">
        <f t="shared" si="9"/>
        <v>45756023.91476424</v>
      </c>
      <c r="BF14" s="85">
        <f t="shared" si="10"/>
        <v>10979271.820727326</v>
      </c>
    </row>
    <row r="15" spans="1:58" ht="16" x14ac:dyDescent="0.2">
      <c r="A15" s="24" t="s">
        <v>32</v>
      </c>
      <c r="B15" s="72" t="s">
        <v>163</v>
      </c>
      <c r="C15" s="53">
        <v>105102.992067061</v>
      </c>
      <c r="D15" s="53">
        <v>145274.83349126999</v>
      </c>
      <c r="E15" s="53">
        <v>2964461.2247906802</v>
      </c>
      <c r="F15" s="53">
        <v>17329016.546253499</v>
      </c>
      <c r="G15" s="53">
        <v>7564.8612501265798</v>
      </c>
      <c r="H15" s="53">
        <v>5958018.9744178997</v>
      </c>
      <c r="I15" s="53">
        <v>25289587.333191399</v>
      </c>
      <c r="J15" s="53">
        <v>6236433.5193274096</v>
      </c>
      <c r="K15" s="53">
        <v>167275.307486037</v>
      </c>
      <c r="N15" s="35" t="s">
        <v>99</v>
      </c>
      <c r="O15" s="35" t="s">
        <v>180</v>
      </c>
      <c r="S15" s="116" t="s">
        <v>32</v>
      </c>
      <c r="T15" s="117" t="s">
        <v>163</v>
      </c>
      <c r="U15" s="75">
        <f t="shared" si="0"/>
        <v>6.5726919974007342E-2</v>
      </c>
      <c r="V15" s="75">
        <f t="shared" si="1"/>
        <v>7.1050476464060597E-2</v>
      </c>
      <c r="W15" s="75">
        <f t="shared" si="2"/>
        <v>1.4517581922615026</v>
      </c>
      <c r="X15" s="75">
        <f t="shared" ref="X15:X26" si="18">(G15-$O$8)/$O$7</f>
        <v>0.9311587956158518</v>
      </c>
      <c r="Y15" s="75">
        <f t="shared" si="3"/>
        <v>1.2967314982203635</v>
      </c>
      <c r="Z15" s="75">
        <f t="shared" si="4"/>
        <v>13.219033292258542</v>
      </c>
      <c r="AA15" s="75">
        <f t="shared" si="5"/>
        <v>0.4125534065371691</v>
      </c>
      <c r="AB15" s="75">
        <f t="shared" si="6"/>
        <v>0.36911480666643925</v>
      </c>
      <c r="AD15" s="96" t="s">
        <v>32</v>
      </c>
      <c r="AE15" s="72" t="s">
        <v>163</v>
      </c>
      <c r="AF15" s="77">
        <f>(U15*0.0005*1000) /$AU$15</f>
        <v>0.2869392500398234</v>
      </c>
      <c r="AG15" s="75">
        <f t="shared" si="16"/>
        <v>0.31017991470819067</v>
      </c>
      <c r="AH15" s="75">
        <f t="shared" si="17"/>
        <v>6.3378355031914246</v>
      </c>
      <c r="AI15" s="75">
        <f t="shared" si="11"/>
        <v>4.0650924550802063</v>
      </c>
      <c r="AJ15" s="75">
        <f t="shared" si="12"/>
        <v>5.6610467027743487</v>
      </c>
      <c r="AK15" s="75">
        <f t="shared" si="13"/>
        <v>57.709375407095663</v>
      </c>
      <c r="AL15" s="75">
        <f t="shared" si="14"/>
        <v>1.8010545012601213</v>
      </c>
      <c r="AM15" s="75">
        <f t="shared" si="15"/>
        <v>1.6114177546330717</v>
      </c>
      <c r="AP15" s="103">
        <v>13</v>
      </c>
      <c r="AQ15" s="92">
        <v>0.38839998841285706</v>
      </c>
      <c r="AR15" s="92">
        <v>0.25569999217987061</v>
      </c>
      <c r="AS15" s="93">
        <v>0.405254224033679</v>
      </c>
      <c r="AT15" s="93">
        <v>0.1215762672101037</v>
      </c>
      <c r="AU15" s="95">
        <v>0.114531072282522</v>
      </c>
      <c r="AW15" s="24" t="s">
        <v>32</v>
      </c>
      <c r="AX15" s="79" t="s">
        <v>163</v>
      </c>
      <c r="AY15" s="85">
        <v>43410614.610494502</v>
      </c>
      <c r="AZ15" s="10">
        <v>9986497.9161546007</v>
      </c>
      <c r="BA15" s="88">
        <v>3829.1186441058999</v>
      </c>
      <c r="BC15" s="79" t="s">
        <v>163</v>
      </c>
      <c r="BD15" s="85">
        <f t="shared" si="8"/>
        <v>357064874.63933939</v>
      </c>
      <c r="BE15" s="85">
        <f t="shared" si="9"/>
        <v>82141836.933488816</v>
      </c>
      <c r="BF15" s="85">
        <f t="shared" si="10"/>
        <v>31495.609562420235</v>
      </c>
    </row>
    <row r="16" spans="1:58" ht="16" x14ac:dyDescent="0.2">
      <c r="A16" s="24" t="s">
        <v>33</v>
      </c>
      <c r="B16" s="72" t="s">
        <v>163</v>
      </c>
      <c r="C16" s="53">
        <v>90972.873175764893</v>
      </c>
      <c r="D16" s="53">
        <v>141292.13427619901</v>
      </c>
      <c r="E16" s="53">
        <v>3005698.3154314202</v>
      </c>
      <c r="F16" s="53">
        <v>14914632.6346469</v>
      </c>
      <c r="G16" s="53">
        <v>14489.301717505699</v>
      </c>
      <c r="H16" s="53">
        <v>5305437.2352943802</v>
      </c>
      <c r="I16" s="53">
        <v>20776974.127072599</v>
      </c>
      <c r="J16" s="53">
        <v>4730748.63792523</v>
      </c>
      <c r="K16" s="53">
        <v>164340.50463135599</v>
      </c>
      <c r="S16" s="116" t="s">
        <v>33</v>
      </c>
      <c r="T16" s="117" t="s">
        <v>163</v>
      </c>
      <c r="U16" s="75">
        <f t="shared" si="0"/>
        <v>6.4452918898159975E-2</v>
      </c>
      <c r="V16" s="75">
        <f t="shared" si="1"/>
        <v>7.0643212566135385E-2</v>
      </c>
      <c r="W16" s="75">
        <f t="shared" si="2"/>
        <v>1.2524655954126545</v>
      </c>
      <c r="X16" s="75">
        <f t="shared" si="18"/>
        <v>0.94074132435436553</v>
      </c>
      <c r="Y16" s="75">
        <f t="shared" si="3"/>
        <v>1.1671313066468829</v>
      </c>
      <c r="Z16" s="75">
        <f t="shared" si="4"/>
        <v>10.871245900414106</v>
      </c>
      <c r="AA16" s="75">
        <f t="shared" si="5"/>
        <v>0.33484004978199189</v>
      </c>
      <c r="AB16" s="75">
        <f t="shared" si="6"/>
        <v>0.36218624630696805</v>
      </c>
      <c r="AD16" s="96" t="s">
        <v>33</v>
      </c>
      <c r="AE16" s="72" t="s">
        <v>163</v>
      </c>
      <c r="AF16" s="77">
        <f>(U16*0.0005*1000) /$AU$15</f>
        <v>0.28137743589429315</v>
      </c>
      <c r="AG16" s="75">
        <f t="shared" si="16"/>
        <v>0.30840195223124567</v>
      </c>
      <c r="AH16" s="75">
        <f t="shared" si="17"/>
        <v>5.4677982596858428</v>
      </c>
      <c r="AI16" s="75">
        <f t="shared" si="11"/>
        <v>4.1069262061642604</v>
      </c>
      <c r="AJ16" s="75">
        <f t="shared" si="12"/>
        <v>5.0952605410339498</v>
      </c>
      <c r="AK16" s="75">
        <f t="shared" si="13"/>
        <v>47.459810179709244</v>
      </c>
      <c r="AL16" s="75">
        <f t="shared" si="14"/>
        <v>1.4617869330517483</v>
      </c>
      <c r="AM16" s="75">
        <f t="shared" si="15"/>
        <v>1.5811702409174049</v>
      </c>
      <c r="AP16" s="103">
        <v>14</v>
      </c>
      <c r="AQ16" s="92">
        <v>0.35729999343554181</v>
      </c>
      <c r="AR16" s="92">
        <v>0.22459999720255536</v>
      </c>
      <c r="AS16" s="93">
        <v>0.35254236813992434</v>
      </c>
      <c r="AT16" s="93">
        <v>0.1057627104419773</v>
      </c>
      <c r="AU16" s="95">
        <v>0.114531072282522</v>
      </c>
      <c r="AW16" s="24" t="s">
        <v>33</v>
      </c>
      <c r="AX16" s="79" t="s">
        <v>163</v>
      </c>
      <c r="AY16" s="85">
        <v>31649420.743160401</v>
      </c>
      <c r="AZ16" s="10">
        <v>2822613.3564782501</v>
      </c>
      <c r="BA16" s="88">
        <v>0</v>
      </c>
      <c r="BC16" s="79" t="s">
        <v>163</v>
      </c>
      <c r="BD16" s="85">
        <f t="shared" si="8"/>
        <v>299249334.76930565</v>
      </c>
      <c r="BE16" s="85">
        <f t="shared" si="9"/>
        <v>26688171.51794507</v>
      </c>
      <c r="BF16" s="85">
        <f t="shared" si="10"/>
        <v>0</v>
      </c>
    </row>
    <row r="17" spans="1:58" ht="16" x14ac:dyDescent="0.2">
      <c r="A17" s="24" t="s">
        <v>34</v>
      </c>
      <c r="B17" s="72" t="s">
        <v>163</v>
      </c>
      <c r="C17" s="53">
        <v>112772.147834761</v>
      </c>
      <c r="D17" s="53">
        <v>188636.54253494999</v>
      </c>
      <c r="E17" s="53">
        <v>3901030.9775769501</v>
      </c>
      <c r="F17" s="53">
        <v>18258680.2522333</v>
      </c>
      <c r="G17" s="53">
        <v>32028.067841395699</v>
      </c>
      <c r="H17" s="53">
        <v>6175576.7935695499</v>
      </c>
      <c r="I17" s="53">
        <v>24978351.5601677</v>
      </c>
      <c r="J17" s="53">
        <v>5580506.1010667197</v>
      </c>
      <c r="K17" s="53">
        <v>167511.87187630899</v>
      </c>
      <c r="N17" s="35" t="s">
        <v>93</v>
      </c>
      <c r="S17" s="116" t="s">
        <v>34</v>
      </c>
      <c r="T17" s="117" t="s">
        <v>163</v>
      </c>
      <c r="U17" s="75">
        <f t="shared" si="0"/>
        <v>6.6418387099942786E-2</v>
      </c>
      <c r="V17" s="75">
        <f t="shared" si="1"/>
        <v>7.5484569447784242E-2</v>
      </c>
      <c r="W17" s="75">
        <f t="shared" si="2"/>
        <v>1.5284962343227386</v>
      </c>
      <c r="X17" s="75">
        <f t="shared" si="18"/>
        <v>0.96501270501133041</v>
      </c>
      <c r="Y17" s="75">
        <f t="shared" si="3"/>
        <v>1.3399376337126496</v>
      </c>
      <c r="Z17" s="75">
        <f t="shared" si="4"/>
        <v>13.057105958711498</v>
      </c>
      <c r="AA17" s="75">
        <f t="shared" si="5"/>
        <v>0.37869883172512403</v>
      </c>
      <c r="AB17" s="75">
        <f t="shared" si="6"/>
        <v>0.36967329414858369</v>
      </c>
      <c r="AD17" s="96" t="s">
        <v>34</v>
      </c>
      <c r="AE17" s="72" t="s">
        <v>163</v>
      </c>
      <c r="AF17" s="77">
        <f>(U17*0.0005*1000) /$AU$15</f>
        <v>0.28995793794763308</v>
      </c>
      <c r="AG17" s="75">
        <f t="shared" si="16"/>
        <v>0.3295375130234573</v>
      </c>
      <c r="AH17" s="75">
        <f t="shared" si="17"/>
        <v>6.6728452107402232</v>
      </c>
      <c r="AI17" s="75">
        <f t="shared" si="11"/>
        <v>4.2128860132858295</v>
      </c>
      <c r="AJ17" s="75">
        <f t="shared" si="12"/>
        <v>5.8496685965155786</v>
      </c>
      <c r="AK17" s="75">
        <f t="shared" si="13"/>
        <v>57.002460985009371</v>
      </c>
      <c r="AL17" s="75">
        <f t="shared" si="14"/>
        <v>1.6532580380936299</v>
      </c>
      <c r="AM17" s="75">
        <f t="shared" si="15"/>
        <v>1.6138559029495685</v>
      </c>
      <c r="AP17" s="103">
        <v>15</v>
      </c>
      <c r="AQ17" s="92">
        <v>0.37793333331743878</v>
      </c>
      <c r="AR17" s="92">
        <v>0.24523333708445233</v>
      </c>
      <c r="AS17" s="93">
        <v>0.38751413065161411</v>
      </c>
      <c r="AT17" s="93">
        <v>0.11625423919548422</v>
      </c>
      <c r="AU17" s="95">
        <v>0.114531072282522</v>
      </c>
      <c r="AW17" s="24" t="s">
        <v>34</v>
      </c>
      <c r="AX17" s="79" t="s">
        <v>163</v>
      </c>
      <c r="AY17" s="85">
        <v>42177786.857582599</v>
      </c>
      <c r="AZ17" s="10">
        <v>3357726.9619083102</v>
      </c>
      <c r="BA17" s="88">
        <v>0</v>
      </c>
      <c r="BC17" s="79" t="s">
        <v>163</v>
      </c>
      <c r="BD17" s="85">
        <f t="shared" si="8"/>
        <v>362806441.72174799</v>
      </c>
      <c r="BE17" s="85">
        <f t="shared" si="9"/>
        <v>28882619.551294073</v>
      </c>
      <c r="BF17" s="85">
        <f t="shared" si="10"/>
        <v>0</v>
      </c>
    </row>
    <row r="18" spans="1:58" ht="16" x14ac:dyDescent="0.2">
      <c r="A18" s="24" t="s">
        <v>35</v>
      </c>
      <c r="B18" s="72" t="s">
        <v>204</v>
      </c>
      <c r="C18" s="53">
        <v>21154.833912539802</v>
      </c>
      <c r="D18" s="53">
        <v>224567.49387869099</v>
      </c>
      <c r="E18" s="53">
        <v>89950658.510133103</v>
      </c>
      <c r="F18" s="53">
        <v>2543271.89694012</v>
      </c>
      <c r="G18" s="53">
        <v>0</v>
      </c>
      <c r="H18" s="53">
        <v>15041184.765555499</v>
      </c>
      <c r="I18" s="53">
        <v>6994559.03121881</v>
      </c>
      <c r="J18" s="53">
        <v>6457947.5262177</v>
      </c>
      <c r="K18" s="53">
        <v>28312.308583295198</v>
      </c>
      <c r="M18" s="35" t="s">
        <v>96</v>
      </c>
      <c r="N18" s="25">
        <f>'Calibration curve'!B54</f>
        <v>423580.47017215984</v>
      </c>
      <c r="O18" s="74"/>
      <c r="P18" s="74"/>
      <c r="S18" s="116" t="s">
        <v>35</v>
      </c>
      <c r="T18" s="117" t="s">
        <v>204</v>
      </c>
      <c r="U18" s="75">
        <f t="shared" si="0"/>
        <v>5.8157978436640369E-2</v>
      </c>
      <c r="V18" s="75">
        <f t="shared" si="1"/>
        <v>7.9158806067270521E-2</v>
      </c>
      <c r="W18" s="75">
        <f t="shared" si="2"/>
        <v>0.23128557672588357</v>
      </c>
      <c r="X18" s="75">
        <f t="shared" si="18"/>
        <v>0.92069000746268481</v>
      </c>
      <c r="Y18" s="75">
        <f t="shared" si="3"/>
        <v>3.1006128452623214</v>
      </c>
      <c r="Z18" s="75">
        <f t="shared" si="4"/>
        <v>3.7006378927664696</v>
      </c>
      <c r="AA18" s="75">
        <f t="shared" si="5"/>
        <v>0.42398647414405294</v>
      </c>
      <c r="AB18" s="75">
        <f t="shared" si="6"/>
        <v>4.1047275964984253E-2</v>
      </c>
      <c r="AD18" s="96" t="s">
        <v>35</v>
      </c>
      <c r="AE18" s="72" t="s">
        <v>204</v>
      </c>
      <c r="AF18" s="77">
        <f>(U18*0.0005*1000) /$AU$18</f>
        <v>0.30518713158638289</v>
      </c>
      <c r="AG18" s="75">
        <f t="shared" si="16"/>
        <v>0.41539010833727685</v>
      </c>
      <c r="AH18" s="75">
        <f t="shared" si="17"/>
        <v>1.2136835501456302</v>
      </c>
      <c r="AI18" s="75">
        <f t="shared" si="11"/>
        <v>4.8313705189030269</v>
      </c>
      <c r="AJ18" s="75">
        <f t="shared" si="12"/>
        <v>16.270633296451361</v>
      </c>
      <c r="AK18" s="75">
        <f t="shared" si="13"/>
        <v>19.419297126423931</v>
      </c>
      <c r="AL18" s="75">
        <f t="shared" si="14"/>
        <v>2.2248919125759494</v>
      </c>
      <c r="AM18" s="75">
        <f t="shared" si="15"/>
        <v>0.21539779662107317</v>
      </c>
      <c r="AP18" s="103">
        <v>16</v>
      </c>
      <c r="AQ18" s="92">
        <v>0.36169999837875366</v>
      </c>
      <c r="AR18" s="92">
        <v>0.22900000214576721</v>
      </c>
      <c r="AS18" s="93">
        <v>0.36000000363689361</v>
      </c>
      <c r="AT18" s="93">
        <v>0.10800000109106808</v>
      </c>
      <c r="AU18" s="95">
        <v>9.5282488049760403E-2</v>
      </c>
      <c r="AW18" s="24" t="s">
        <v>35</v>
      </c>
      <c r="AX18" s="79" t="s">
        <v>204</v>
      </c>
      <c r="AY18" s="85">
        <v>2895570.0802316801</v>
      </c>
      <c r="AZ18" s="10">
        <v>301277.846103421</v>
      </c>
      <c r="BA18" s="10">
        <v>0</v>
      </c>
      <c r="BC18" s="79" t="s">
        <v>204</v>
      </c>
      <c r="BD18" s="85">
        <f t="shared" si="8"/>
        <v>26810833.805363286</v>
      </c>
      <c r="BE18" s="85">
        <f t="shared" si="9"/>
        <v>2789609.6579608051</v>
      </c>
      <c r="BF18" s="85">
        <f t="shared" si="10"/>
        <v>0</v>
      </c>
    </row>
    <row r="19" spans="1:58" ht="16" x14ac:dyDescent="0.2">
      <c r="A19" s="24" t="s">
        <v>36</v>
      </c>
      <c r="B19" s="72" t="s">
        <v>204</v>
      </c>
      <c r="C19" s="53">
        <v>9906.9122120271204</v>
      </c>
      <c r="D19" s="53">
        <v>182002.42482307099</v>
      </c>
      <c r="E19" s="53">
        <v>55929836.365901403</v>
      </c>
      <c r="F19" s="53">
        <v>1874481.2846506101</v>
      </c>
      <c r="G19" s="53">
        <v>3696.4525140686401</v>
      </c>
      <c r="H19" s="53">
        <v>13486419.4093512</v>
      </c>
      <c r="I19" s="53">
        <v>8176087.4679739801</v>
      </c>
      <c r="J19" s="53">
        <v>5740082.5766105903</v>
      </c>
      <c r="K19" s="53">
        <v>29621.346653014702</v>
      </c>
      <c r="M19" s="35" t="s">
        <v>97</v>
      </c>
      <c r="N19" s="25">
        <f>'Calibration curve'!B55</f>
        <v>10925.484130760771</v>
      </c>
      <c r="O19" s="74"/>
      <c r="P19" s="74"/>
      <c r="S19" s="116" t="s">
        <v>36</v>
      </c>
      <c r="T19" s="117" t="s">
        <v>204</v>
      </c>
      <c r="U19" s="75">
        <f t="shared" si="0"/>
        <v>5.7143842288336133E-2</v>
      </c>
      <c r="V19" s="75">
        <f t="shared" si="1"/>
        <v>7.4806176103790187E-2</v>
      </c>
      <c r="W19" s="75">
        <f t="shared" si="2"/>
        <v>0.17608100994983342</v>
      </c>
      <c r="X19" s="75">
        <f t="shared" si="18"/>
        <v>0.92580541896972057</v>
      </c>
      <c r="Y19" s="75">
        <f t="shared" si="3"/>
        <v>2.7918425013564083</v>
      </c>
      <c r="Z19" s="75">
        <f t="shared" si="4"/>
        <v>4.3153543420198934</v>
      </c>
      <c r="AA19" s="75">
        <f t="shared" si="5"/>
        <v>0.38693509930464964</v>
      </c>
      <c r="AB19" s="75">
        <f t="shared" si="6"/>
        <v>4.4137687732994847E-2</v>
      </c>
      <c r="AD19" s="96" t="s">
        <v>36</v>
      </c>
      <c r="AE19" s="72" t="s">
        <v>204</v>
      </c>
      <c r="AF19" s="77">
        <f>(U19*0.0005*1000) /$AU$18</f>
        <v>0.29986539739859275</v>
      </c>
      <c r="AG19" s="75">
        <f t="shared" si="16"/>
        <v>0.39254944762107469</v>
      </c>
      <c r="AH19" s="75">
        <f t="shared" si="17"/>
        <v>0.9239946056922691</v>
      </c>
      <c r="AI19" s="75">
        <f t="shared" si="11"/>
        <v>4.8582139169488689</v>
      </c>
      <c r="AJ19" s="75">
        <f t="shared" si="12"/>
        <v>14.650344247404593</v>
      </c>
      <c r="AK19" s="75">
        <f t="shared" si="13"/>
        <v>22.645054880211774</v>
      </c>
      <c r="AL19" s="75">
        <f t="shared" si="14"/>
        <v>2.0304628228356942</v>
      </c>
      <c r="AM19" s="75">
        <f t="shared" si="15"/>
        <v>0.23161489921392661</v>
      </c>
      <c r="AP19" s="103">
        <v>17</v>
      </c>
      <c r="AQ19" s="92">
        <v>0.33179999391237897</v>
      </c>
      <c r="AR19" s="92">
        <v>0.19909999767939252</v>
      </c>
      <c r="AS19" s="93">
        <v>0.30932202996507208</v>
      </c>
      <c r="AT19" s="93">
        <v>9.279660898952162E-2</v>
      </c>
      <c r="AU19" s="95">
        <v>9.5282488049760403E-2</v>
      </c>
      <c r="AW19" s="24" t="s">
        <v>36</v>
      </c>
      <c r="AX19" s="79" t="s">
        <v>204</v>
      </c>
      <c r="AY19" s="85">
        <v>3041357.0447311299</v>
      </c>
      <c r="AZ19" s="10">
        <v>149062.72749322499</v>
      </c>
      <c r="BA19" s="10">
        <v>0</v>
      </c>
      <c r="BC19" s="79" t="s">
        <v>204</v>
      </c>
      <c r="BD19" s="85">
        <f t="shared" si="8"/>
        <v>32774441.629376274</v>
      </c>
      <c r="BE19" s="85">
        <f t="shared" si="9"/>
        <v>1606338.0883891652</v>
      </c>
      <c r="BF19" s="85">
        <f t="shared" si="10"/>
        <v>0</v>
      </c>
    </row>
    <row r="20" spans="1:58" ht="16" x14ac:dyDescent="0.2">
      <c r="A20" s="24" t="s">
        <v>37</v>
      </c>
      <c r="B20" s="72" t="s">
        <v>204</v>
      </c>
      <c r="C20" s="53">
        <v>12580.149954667801</v>
      </c>
      <c r="D20" s="53">
        <v>202871.827611352</v>
      </c>
      <c r="E20" s="53">
        <v>53428191.359443799</v>
      </c>
      <c r="F20" s="53">
        <v>2238974.2853540001</v>
      </c>
      <c r="G20" s="53">
        <v>6163.8311364979099</v>
      </c>
      <c r="H20" s="53">
        <v>15361677.6662836</v>
      </c>
      <c r="I20" s="53">
        <v>11942184.789071299</v>
      </c>
      <c r="J20" s="53">
        <v>6684884.2887567999</v>
      </c>
      <c r="K20" s="53">
        <v>23409.426958604799</v>
      </c>
      <c r="S20" s="116" t="s">
        <v>37</v>
      </c>
      <c r="T20" s="117" t="s">
        <v>204</v>
      </c>
      <c r="U20" s="75">
        <f t="shared" si="0"/>
        <v>5.7384866994944779E-2</v>
      </c>
      <c r="V20" s="75">
        <f t="shared" si="1"/>
        <v>7.6940244952063752E-2</v>
      </c>
      <c r="W20" s="75">
        <f t="shared" si="2"/>
        <v>0.20616767358862087</v>
      </c>
      <c r="X20" s="75">
        <f t="shared" si="18"/>
        <v>0.92921995140300639</v>
      </c>
      <c r="Y20" s="75">
        <f t="shared" si="3"/>
        <v>3.1642614870218795</v>
      </c>
      <c r="Z20" s="75">
        <f t="shared" si="4"/>
        <v>6.2747502403748054</v>
      </c>
      <c r="AA20" s="75">
        <f t="shared" si="5"/>
        <v>0.43569942803360934</v>
      </c>
      <c r="AB20" s="75">
        <f t="shared" si="6"/>
        <v>2.947242308591343E-2</v>
      </c>
      <c r="AD20" s="96" t="s">
        <v>37</v>
      </c>
      <c r="AE20" s="72" t="s">
        <v>204</v>
      </c>
      <c r="AF20" s="77">
        <f>(U20*0.0005*1000) /$AU$18</f>
        <v>0.30113018755857879</v>
      </c>
      <c r="AG20" s="75">
        <f t="shared" si="16"/>
        <v>0.40374808911309296</v>
      </c>
      <c r="AH20" s="75">
        <f t="shared" si="17"/>
        <v>1.0818759974075809</v>
      </c>
      <c r="AI20" s="75">
        <f t="shared" si="11"/>
        <v>4.8761318602308634</v>
      </c>
      <c r="AJ20" s="75">
        <f t="shared" si="12"/>
        <v>16.604632980245924</v>
      </c>
      <c r="AK20" s="75">
        <f t="shared" si="13"/>
        <v>32.927090637567503</v>
      </c>
      <c r="AL20" s="75">
        <f t="shared" si="14"/>
        <v>2.2863562704516558</v>
      </c>
      <c r="AM20" s="75">
        <f t="shared" si="15"/>
        <v>0.1546581312534667</v>
      </c>
      <c r="AP20" s="103">
        <v>18</v>
      </c>
      <c r="AQ20" s="92">
        <v>0.31656667590141296</v>
      </c>
      <c r="AR20" s="92">
        <v>0.18386667966842651</v>
      </c>
      <c r="AS20" s="93">
        <v>0.28350284689563815</v>
      </c>
      <c r="AT20" s="93">
        <v>8.5050854068691437E-2</v>
      </c>
      <c r="AU20" s="95">
        <v>9.5282488049760403E-2</v>
      </c>
      <c r="AW20" s="24" t="s">
        <v>37</v>
      </c>
      <c r="AX20" s="79" t="s">
        <v>204</v>
      </c>
      <c r="AY20" s="85">
        <v>3019195.08055904</v>
      </c>
      <c r="AZ20" s="10">
        <v>287361.01055236498</v>
      </c>
      <c r="BA20" s="10">
        <v>0</v>
      </c>
      <c r="BC20" s="79" t="s">
        <v>204</v>
      </c>
      <c r="BD20" s="85">
        <f t="shared" si="8"/>
        <v>35498703.847472042</v>
      </c>
      <c r="BE20" s="85">
        <f t="shared" si="9"/>
        <v>3378696.3540692665</v>
      </c>
      <c r="BF20" s="85">
        <f t="shared" si="10"/>
        <v>0</v>
      </c>
    </row>
    <row r="21" spans="1:58" ht="16" x14ac:dyDescent="0.2">
      <c r="A21" s="24" t="s">
        <v>38</v>
      </c>
      <c r="B21" s="72" t="s">
        <v>196</v>
      </c>
      <c r="C21" s="53">
        <v>108111.496275782</v>
      </c>
      <c r="D21" s="53">
        <v>169540.43712086399</v>
      </c>
      <c r="E21" s="53">
        <v>2284815.3921197201</v>
      </c>
      <c r="F21" s="53">
        <v>2334964.3186098202</v>
      </c>
      <c r="G21" s="53">
        <v>24414.342062228501</v>
      </c>
      <c r="H21" s="53">
        <v>3997091.5563809201</v>
      </c>
      <c r="I21" s="53">
        <v>24613769.781422298</v>
      </c>
      <c r="J21" s="53">
        <v>6788950.0641327603</v>
      </c>
      <c r="K21" s="53">
        <v>30100.692541182802</v>
      </c>
      <c r="S21" s="116" t="s">
        <v>38</v>
      </c>
      <c r="T21" s="117" t="s">
        <v>196</v>
      </c>
      <c r="U21" s="75">
        <f t="shared" si="0"/>
        <v>6.5998173006489802E-2</v>
      </c>
      <c r="V21" s="75">
        <f t="shared" si="1"/>
        <v>7.3531834906169408E-2</v>
      </c>
      <c r="W21" s="75">
        <f t="shared" si="2"/>
        <v>0.21409106261850799</v>
      </c>
      <c r="X21" s="75">
        <f t="shared" si="18"/>
        <v>0.95447629467900952</v>
      </c>
      <c r="Y21" s="75">
        <f t="shared" si="3"/>
        <v>0.90729895084229373</v>
      </c>
      <c r="Z21" s="75">
        <f t="shared" si="4"/>
        <v>12.867424179144384</v>
      </c>
      <c r="AA21" s="75">
        <f t="shared" si="5"/>
        <v>0.44107060551416216</v>
      </c>
      <c r="AB21" s="75">
        <f t="shared" si="6"/>
        <v>4.5269340209732681E-2</v>
      </c>
      <c r="AD21" s="96" t="s">
        <v>38</v>
      </c>
      <c r="AE21" s="72" t="s">
        <v>196</v>
      </c>
      <c r="AF21" s="77">
        <f>(U21*0.0005*1000) /$AU$21</f>
        <v>0.2632193876937074</v>
      </c>
      <c r="AG21" s="75">
        <f t="shared" si="16"/>
        <v>0.29326576294912671</v>
      </c>
      <c r="AH21" s="75">
        <f t="shared" si="17"/>
        <v>0.85385573336397491</v>
      </c>
      <c r="AI21" s="75">
        <f t="shared" si="11"/>
        <v>3.80672152589531</v>
      </c>
      <c r="AJ21" s="75">
        <f t="shared" si="12"/>
        <v>3.6185649301590197</v>
      </c>
      <c r="AK21" s="75">
        <f t="shared" si="13"/>
        <v>51.318928378464975</v>
      </c>
      <c r="AL21" s="75">
        <f t="shared" si="14"/>
        <v>1.759114372782929</v>
      </c>
      <c r="AM21" s="75">
        <f t="shared" si="15"/>
        <v>0.18054693741495315</v>
      </c>
      <c r="AP21" s="103">
        <v>19</v>
      </c>
      <c r="AQ21" s="92">
        <v>0.41043333212534588</v>
      </c>
      <c r="AR21" s="92">
        <v>0.27773333589235943</v>
      </c>
      <c r="AS21" s="93">
        <v>0.44259887439382956</v>
      </c>
      <c r="AT21" s="93">
        <v>0.13277966231814886</v>
      </c>
      <c r="AU21" s="95">
        <v>0.12536723374512199</v>
      </c>
      <c r="AW21" s="24" t="s">
        <v>38</v>
      </c>
      <c r="AX21" s="79" t="s">
        <v>196</v>
      </c>
      <c r="AY21" s="87">
        <v>41245443.281144798</v>
      </c>
      <c r="AZ21" s="10">
        <v>157163.16721788599</v>
      </c>
      <c r="BA21" s="10">
        <v>163361.45876468299</v>
      </c>
      <c r="BC21" s="79" t="s">
        <v>196</v>
      </c>
      <c r="BD21" s="85">
        <f t="shared" si="8"/>
        <v>310630728.84097254</v>
      </c>
      <c r="BE21" s="85">
        <f t="shared" si="9"/>
        <v>1183638.853074597</v>
      </c>
      <c r="BF21" s="85">
        <f t="shared" si="10"/>
        <v>1230319.8841796881</v>
      </c>
    </row>
    <row r="22" spans="1:58" ht="16" x14ac:dyDescent="0.2">
      <c r="A22" s="24" t="s">
        <v>39</v>
      </c>
      <c r="B22" s="72" t="s">
        <v>196</v>
      </c>
      <c r="C22" s="53">
        <v>122644.27891892201</v>
      </c>
      <c r="D22" s="53">
        <v>185212.318972126</v>
      </c>
      <c r="E22" s="53">
        <v>1859867.53564964</v>
      </c>
      <c r="F22" s="53">
        <v>2413334.3690113402</v>
      </c>
      <c r="G22" s="53">
        <v>28521.2614483301</v>
      </c>
      <c r="H22" s="53">
        <v>4030648.9776997799</v>
      </c>
      <c r="I22" s="53">
        <v>23942162.416668199</v>
      </c>
      <c r="J22" s="53">
        <v>7018329.7342943298</v>
      </c>
      <c r="K22" s="53">
        <v>23835.544699149399</v>
      </c>
      <c r="S22" s="116" t="s">
        <v>39</v>
      </c>
      <c r="T22" s="117" t="s">
        <v>196</v>
      </c>
      <c r="U22" s="75">
        <f t="shared" si="0"/>
        <v>6.7308479088473372E-2</v>
      </c>
      <c r="V22" s="75">
        <f t="shared" si="1"/>
        <v>7.5134414299163968E-2</v>
      </c>
      <c r="W22" s="75">
        <f t="shared" si="2"/>
        <v>0.22056003003690874</v>
      </c>
      <c r="X22" s="75">
        <f t="shared" si="18"/>
        <v>0.96015973917239172</v>
      </c>
      <c r="Y22" s="75">
        <f t="shared" si="3"/>
        <v>0.91396332400951941</v>
      </c>
      <c r="Z22" s="75">
        <f t="shared" si="4"/>
        <v>12.518005509469456</v>
      </c>
      <c r="AA22" s="75">
        <f t="shared" si="5"/>
        <v>0.45290964591353866</v>
      </c>
      <c r="AB22" s="75">
        <f t="shared" si="6"/>
        <v>3.0478413141053148E-2</v>
      </c>
      <c r="AD22" s="96" t="s">
        <v>39</v>
      </c>
      <c r="AE22" s="72" t="s">
        <v>196</v>
      </c>
      <c r="AF22" s="77">
        <f>(U22*0.0005*1000) /$AU$21</f>
        <v>0.2684452590910435</v>
      </c>
      <c r="AG22" s="75">
        <f t="shared" si="16"/>
        <v>0.29965730300756294</v>
      </c>
      <c r="AH22" s="75">
        <f t="shared" si="17"/>
        <v>0.87965580577983638</v>
      </c>
      <c r="AI22" s="75">
        <f t="shared" si="11"/>
        <v>3.8293887106277134</v>
      </c>
      <c r="AJ22" s="75">
        <f t="shared" si="12"/>
        <v>3.6451443359899516</v>
      </c>
      <c r="AK22" s="75">
        <f t="shared" si="13"/>
        <v>49.925347858114201</v>
      </c>
      <c r="AL22" s="75">
        <f t="shared" si="14"/>
        <v>1.806331815673333</v>
      </c>
      <c r="AM22" s="75">
        <f t="shared" si="15"/>
        <v>0.12155653527068055</v>
      </c>
      <c r="AP22" s="103">
        <v>20</v>
      </c>
      <c r="AQ22" s="92">
        <v>0.38776665925979614</v>
      </c>
      <c r="AR22" s="92">
        <v>0.25506666302680969</v>
      </c>
      <c r="AS22" s="93">
        <v>0.4041807847912029</v>
      </c>
      <c r="AT22" s="93">
        <v>0.12125423543736086</v>
      </c>
      <c r="AU22" s="95">
        <v>0.12536723374512199</v>
      </c>
      <c r="AW22" s="24" t="s">
        <v>39</v>
      </c>
      <c r="AX22" s="79" t="s">
        <v>196</v>
      </c>
      <c r="AY22" s="87">
        <v>46959576.764671899</v>
      </c>
      <c r="AZ22" s="10">
        <v>294774.83585454</v>
      </c>
      <c r="BA22" s="10">
        <v>85931.502294349397</v>
      </c>
      <c r="BC22" s="79" t="s">
        <v>196</v>
      </c>
      <c r="BD22" s="85">
        <f t="shared" si="8"/>
        <v>387281950.15448272</v>
      </c>
      <c r="BE22" s="85">
        <f t="shared" si="9"/>
        <v>2431047.7468378311</v>
      </c>
      <c r="BF22" s="85">
        <f t="shared" si="10"/>
        <v>708688.66546720383</v>
      </c>
    </row>
    <row r="23" spans="1:58" ht="16" x14ac:dyDescent="0.2">
      <c r="A23" s="24" t="s">
        <v>40</v>
      </c>
      <c r="B23" s="72" t="s">
        <v>196</v>
      </c>
      <c r="C23" s="53">
        <v>110561.13627492001</v>
      </c>
      <c r="D23" s="53">
        <v>181199.31164680299</v>
      </c>
      <c r="E23" s="53">
        <v>2332005.0429522102</v>
      </c>
      <c r="F23" s="53">
        <v>2392320.1404178701</v>
      </c>
      <c r="G23" s="53">
        <v>5168.5141612529396</v>
      </c>
      <c r="H23" s="53">
        <v>3827055.8768173698</v>
      </c>
      <c r="I23" s="53">
        <v>24472698.985468298</v>
      </c>
      <c r="J23" s="53">
        <v>6454376.0582089303</v>
      </c>
      <c r="K23" s="53">
        <v>22298.426201204598</v>
      </c>
      <c r="S23" s="116" t="s">
        <v>40</v>
      </c>
      <c r="T23" s="117" t="s">
        <v>196</v>
      </c>
      <c r="U23" s="75">
        <f t="shared" si="0"/>
        <v>6.6219037672834755E-2</v>
      </c>
      <c r="V23" s="75">
        <f t="shared" si="1"/>
        <v>7.4724051146574169E-2</v>
      </c>
      <c r="W23" s="75">
        <f t="shared" si="2"/>
        <v>0.2188254342391836</v>
      </c>
      <c r="X23" s="75">
        <f t="shared" si="18"/>
        <v>0.92784256162485057</v>
      </c>
      <c r="Y23" s="75">
        <f t="shared" si="3"/>
        <v>0.87353052717270041</v>
      </c>
      <c r="Z23" s="75">
        <f t="shared" si="4"/>
        <v>12.794028959795833</v>
      </c>
      <c r="AA23" s="75">
        <f t="shared" si="5"/>
        <v>0.42380213891499308</v>
      </c>
      <c r="AB23" s="75">
        <f t="shared" si="6"/>
        <v>2.6849543053345717E-2</v>
      </c>
      <c r="AD23" s="96" t="s">
        <v>40</v>
      </c>
      <c r="AE23" s="72" t="s">
        <v>196</v>
      </c>
      <c r="AF23" s="77">
        <f>(U23*0.0005*1000) /$AU$21</f>
        <v>0.26410025847527852</v>
      </c>
      <c r="AG23" s="75">
        <f t="shared" si="16"/>
        <v>0.2980206586455118</v>
      </c>
      <c r="AH23" s="75">
        <f t="shared" si="17"/>
        <v>0.87273774694617146</v>
      </c>
      <c r="AI23" s="75">
        <f t="shared" si="11"/>
        <v>3.7004986626378074</v>
      </c>
      <c r="AJ23" s="75">
        <f t="shared" si="12"/>
        <v>3.4838869020139374</v>
      </c>
      <c r="AK23" s="75">
        <f t="shared" si="13"/>
        <v>51.02620747701409</v>
      </c>
      <c r="AL23" s="75">
        <f t="shared" si="14"/>
        <v>1.690242841987742</v>
      </c>
      <c r="AM23" s="75">
        <f t="shared" si="15"/>
        <v>0.10708357459626258</v>
      </c>
      <c r="AP23" s="103">
        <v>21</v>
      </c>
      <c r="AQ23" s="92">
        <v>0.38936667641003925</v>
      </c>
      <c r="AR23" s="92">
        <v>0.2566666801770528</v>
      </c>
      <c r="AS23" s="93">
        <v>0.40689267826619119</v>
      </c>
      <c r="AT23" s="93">
        <v>0.12206780347985735</v>
      </c>
      <c r="AU23" s="95">
        <v>0.12536723374512199</v>
      </c>
      <c r="AW23" s="24" t="s">
        <v>40</v>
      </c>
      <c r="AX23" s="79" t="s">
        <v>196</v>
      </c>
      <c r="AY23" s="87">
        <v>45194861.303251103</v>
      </c>
      <c r="AZ23" s="10">
        <v>296319.073819182</v>
      </c>
      <c r="BA23" s="10">
        <v>126519.679949506</v>
      </c>
      <c r="BC23" s="79" t="s">
        <v>196</v>
      </c>
      <c r="BD23" s="85">
        <f t="shared" si="8"/>
        <v>370243913.75002331</v>
      </c>
      <c r="BE23" s="85">
        <f t="shared" si="9"/>
        <v>2427495.747214606</v>
      </c>
      <c r="BF23" s="85">
        <f t="shared" si="10"/>
        <v>1036470.5216505617</v>
      </c>
    </row>
    <row r="24" spans="1:58" ht="16" x14ac:dyDescent="0.2">
      <c r="A24" s="24" t="s">
        <v>41</v>
      </c>
      <c r="B24" s="72" t="s">
        <v>200</v>
      </c>
      <c r="C24" s="53">
        <v>99033.798346188007</v>
      </c>
      <c r="D24" s="53">
        <v>160876.699360028</v>
      </c>
      <c r="E24" s="53">
        <v>1793605.5760265</v>
      </c>
      <c r="F24" s="53">
        <v>16486024.651255701</v>
      </c>
      <c r="G24" s="53">
        <v>4928.0404413058104</v>
      </c>
      <c r="H24" s="53">
        <v>3822466.7792241098</v>
      </c>
      <c r="I24" s="53">
        <v>20892104.7582989</v>
      </c>
      <c r="J24" s="53">
        <v>5978117.5424712403</v>
      </c>
      <c r="K24" s="53">
        <v>181100.43519229599</v>
      </c>
      <c r="N24" s="35" t="s">
        <v>186</v>
      </c>
      <c r="S24" s="116" t="s">
        <v>41</v>
      </c>
      <c r="T24" s="117" t="s">
        <v>200</v>
      </c>
      <c r="U24" s="75">
        <f t="shared" si="0"/>
        <v>6.5179708772926712E-2</v>
      </c>
      <c r="V24" s="75">
        <f t="shared" si="1"/>
        <v>7.2645896144405059E-2</v>
      </c>
      <c r="W24" s="75">
        <f t="shared" si="2"/>
        <v>1.3821743770823958</v>
      </c>
      <c r="X24" s="75">
        <f t="shared" si="18"/>
        <v>0.92750977714311444</v>
      </c>
      <c r="Y24" s="75">
        <f t="shared" si="3"/>
        <v>0.87261915026528847</v>
      </c>
      <c r="Z24" s="75">
        <f t="shared" si="4"/>
        <v>10.931145172091478</v>
      </c>
      <c r="AA24" s="75">
        <f t="shared" si="5"/>
        <v>0.39922086802732437</v>
      </c>
      <c r="AB24" s="75">
        <f t="shared" si="6"/>
        <v>0.40175353455830815</v>
      </c>
      <c r="AD24" s="96" t="s">
        <v>41</v>
      </c>
      <c r="AE24" s="72" t="s">
        <v>200</v>
      </c>
      <c r="AF24" s="77">
        <f>(U24*0.0005*1000) /$AU$24</f>
        <v>0.26414827898108678</v>
      </c>
      <c r="AG24" s="75">
        <f t="shared" si="16"/>
        <v>0.2944058634633529</v>
      </c>
      <c r="AH24" s="75">
        <f t="shared" si="17"/>
        <v>5.6014208997159471</v>
      </c>
      <c r="AI24" s="75">
        <f t="shared" si="11"/>
        <v>3.7588402277772865</v>
      </c>
      <c r="AJ24" s="75">
        <f t="shared" si="12"/>
        <v>3.5363896385535254</v>
      </c>
      <c r="AK24" s="75">
        <f t="shared" si="13"/>
        <v>44.29972515771226</v>
      </c>
      <c r="AL24" s="75">
        <f t="shared" si="14"/>
        <v>1.6178885608423412</v>
      </c>
      <c r="AM24" s="75">
        <f t="shared" si="15"/>
        <v>1.6281524837408465</v>
      </c>
      <c r="AP24" s="103">
        <v>22</v>
      </c>
      <c r="AQ24" s="92">
        <v>0.40373333295186359</v>
      </c>
      <c r="AR24" s="92">
        <v>0.27103333671887714</v>
      </c>
      <c r="AS24" s="93">
        <v>0.43124294359131721</v>
      </c>
      <c r="AT24" s="93">
        <v>0.12937288307739517</v>
      </c>
      <c r="AU24" s="95">
        <v>0.12337712178998074</v>
      </c>
      <c r="AW24" s="24" t="s">
        <v>41</v>
      </c>
      <c r="AX24" s="79" t="s">
        <v>200</v>
      </c>
      <c r="AY24" s="85">
        <v>28089550.450054999</v>
      </c>
      <c r="AZ24" s="10">
        <v>11150319.6472883</v>
      </c>
      <c r="BA24" s="89">
        <v>1507239.9015916199</v>
      </c>
      <c r="BC24" s="79" t="s">
        <v>200</v>
      </c>
      <c r="BD24" s="85">
        <f t="shared" si="8"/>
        <v>217120850.84515658</v>
      </c>
      <c r="BE24" s="85">
        <f t="shared" si="9"/>
        <v>86187455.841250807</v>
      </c>
      <c r="BF24" s="85">
        <f t="shared" si="10"/>
        <v>11650354.121658856</v>
      </c>
    </row>
    <row r="25" spans="1:58" ht="16" x14ac:dyDescent="0.2">
      <c r="A25" s="24" t="s">
        <v>42</v>
      </c>
      <c r="B25" s="72" t="s">
        <v>200</v>
      </c>
      <c r="C25" s="53">
        <v>98147.103149959599</v>
      </c>
      <c r="D25" s="53">
        <v>160192.14639446401</v>
      </c>
      <c r="E25" s="53">
        <v>1392471.13359734</v>
      </c>
      <c r="F25" s="53">
        <v>16401015.907854401</v>
      </c>
      <c r="G25" s="53">
        <v>13347.358901564499</v>
      </c>
      <c r="H25" s="53">
        <v>3221538.7869234602</v>
      </c>
      <c r="I25" s="53">
        <v>18524313.573969301</v>
      </c>
      <c r="J25" s="53">
        <v>4893850.1055693198</v>
      </c>
      <c r="K25" s="53">
        <v>162739.20057683601</v>
      </c>
      <c r="S25" s="116" t="s">
        <v>42</v>
      </c>
      <c r="T25" s="117" t="s">
        <v>200</v>
      </c>
      <c r="U25" s="75">
        <f t="shared" si="0"/>
        <v>6.5099762479294346E-2</v>
      </c>
      <c r="V25" s="75">
        <f t="shared" si="1"/>
        <v>7.25758949482221E-2</v>
      </c>
      <c r="W25" s="75">
        <f t="shared" si="2"/>
        <v>1.3751574262379755</v>
      </c>
      <c r="X25" s="75">
        <f t="shared" si="18"/>
        <v>0.93916102340397878</v>
      </c>
      <c r="Y25" s="75">
        <f t="shared" si="3"/>
        <v>0.75327719161864881</v>
      </c>
      <c r="Z25" s="75">
        <f t="shared" si="4"/>
        <v>9.6992491430784629</v>
      </c>
      <c r="AA25" s="75">
        <f t="shared" si="5"/>
        <v>0.34325825381583613</v>
      </c>
      <c r="AB25" s="75">
        <f t="shared" si="6"/>
        <v>0.35840584525620867</v>
      </c>
      <c r="AD25" s="96" t="s">
        <v>42</v>
      </c>
      <c r="AE25" s="72" t="s">
        <v>200</v>
      </c>
      <c r="AF25" s="77">
        <f>(U25*0.0005*1000) /$AU$24</f>
        <v>0.26382428741574432</v>
      </c>
      <c r="AG25" s="75">
        <f t="shared" si="16"/>
        <v>0.29412217555117204</v>
      </c>
      <c r="AH25" s="75">
        <f t="shared" si="17"/>
        <v>5.5729838980149147</v>
      </c>
      <c r="AI25" s="75">
        <f t="shared" si="11"/>
        <v>3.8060582455581589</v>
      </c>
      <c r="AJ25" s="75">
        <f t="shared" si="12"/>
        <v>3.0527426020721991</v>
      </c>
      <c r="AK25" s="75">
        <f t="shared" si="13"/>
        <v>39.307324576711444</v>
      </c>
      <c r="AL25" s="75">
        <f t="shared" si="14"/>
        <v>1.3910936194481383</v>
      </c>
      <c r="AM25" s="75">
        <f t="shared" si="15"/>
        <v>1.4524809788734845</v>
      </c>
      <c r="AP25" s="103">
        <v>23</v>
      </c>
      <c r="AQ25" s="92">
        <v>0.32826667030652362</v>
      </c>
      <c r="AR25" s="92">
        <v>0.19556667407353717</v>
      </c>
      <c r="AS25" s="93">
        <v>0.30333334588735117</v>
      </c>
      <c r="AT25" s="94">
        <v>9.1000003766205345E-2</v>
      </c>
      <c r="AU25" s="95">
        <v>0.12337712178998074</v>
      </c>
      <c r="AW25" s="24" t="s">
        <v>42</v>
      </c>
      <c r="AX25" s="79" t="s">
        <v>200</v>
      </c>
      <c r="AY25" s="85">
        <v>25434519.946036801</v>
      </c>
      <c r="AZ25" s="10">
        <v>6749522.6376113202</v>
      </c>
      <c r="BA25" s="89">
        <v>856278.62118166604</v>
      </c>
      <c r="BC25" s="79" t="s">
        <v>200</v>
      </c>
      <c r="BD25" s="85">
        <f t="shared" si="8"/>
        <v>279500207.6195783</v>
      </c>
      <c r="BE25" s="85">
        <f t="shared" si="9"/>
        <v>74170575.365601137</v>
      </c>
      <c r="BF25" s="85">
        <f t="shared" si="10"/>
        <v>9409654.7883843277</v>
      </c>
    </row>
    <row r="26" spans="1:58" ht="16" x14ac:dyDescent="0.2">
      <c r="A26" s="24" t="s">
        <v>43</v>
      </c>
      <c r="B26" s="72" t="s">
        <v>200</v>
      </c>
      <c r="C26" s="53">
        <v>89217.495779235498</v>
      </c>
      <c r="D26" s="53">
        <v>157595.520647019</v>
      </c>
      <c r="E26" s="53">
        <v>1400621.4482775</v>
      </c>
      <c r="F26" s="53">
        <v>15628126.356877901</v>
      </c>
      <c r="G26" s="53">
        <v>4185.5650387386404</v>
      </c>
      <c r="H26" s="53">
        <v>3027652.8930299599</v>
      </c>
      <c r="I26" s="53">
        <v>19379937.200079001</v>
      </c>
      <c r="J26" s="53">
        <v>4837840.5489733899</v>
      </c>
      <c r="K26" s="53">
        <v>147759.98299855899</v>
      </c>
      <c r="N26" s="35" t="s">
        <v>187</v>
      </c>
      <c r="O26" s="76"/>
      <c r="S26" s="116" t="s">
        <v>43</v>
      </c>
      <c r="T26" s="117" t="s">
        <v>200</v>
      </c>
      <c r="U26" s="75">
        <f t="shared" si="0"/>
        <v>6.4294650400286674E-2</v>
      </c>
      <c r="V26" s="75">
        <f t="shared" si="1"/>
        <v>7.2310368513447507E-2</v>
      </c>
      <c r="W26" s="75">
        <f t="shared" si="2"/>
        <v>1.3113601299790925</v>
      </c>
      <c r="X26" s="75">
        <f t="shared" si="18"/>
        <v>0.92648228735296356</v>
      </c>
      <c r="Y26" s="75">
        <f t="shared" si="3"/>
        <v>0.71477220828009869</v>
      </c>
      <c r="Z26" s="75">
        <f t="shared" si="4"/>
        <v>10.14440636568747</v>
      </c>
      <c r="AA26" s="75">
        <f t="shared" si="5"/>
        <v>0.34036741609328075</v>
      </c>
      <c r="AB26" s="75">
        <f t="shared" si="6"/>
        <v>0.32304251140800538</v>
      </c>
      <c r="AD26" s="96" t="s">
        <v>43</v>
      </c>
      <c r="AE26" s="72" t="s">
        <v>200</v>
      </c>
      <c r="AF26" s="77">
        <f>(U26*0.0005*1000) /$AU$24</f>
        <v>0.26056147796077028</v>
      </c>
      <c r="AG26" s="75">
        <f t="shared" si="16"/>
        <v>0.29304609908366219</v>
      </c>
      <c r="AH26" s="75">
        <f t="shared" si="17"/>
        <v>5.3144380050110147</v>
      </c>
      <c r="AI26" s="75">
        <f t="shared" si="11"/>
        <v>3.7546762070283672</v>
      </c>
      <c r="AJ26" s="75">
        <f t="shared" si="12"/>
        <v>2.8966967210372392</v>
      </c>
      <c r="AK26" s="75">
        <f t="shared" si="13"/>
        <v>41.111375506699822</v>
      </c>
      <c r="AL26" s="75">
        <f t="shared" si="14"/>
        <v>1.3793781665318499</v>
      </c>
      <c r="AM26" s="75">
        <f t="shared" si="15"/>
        <v>1.3091669943391366</v>
      </c>
      <c r="AP26" s="104">
        <v>24</v>
      </c>
      <c r="AQ26" s="105">
        <v>0.38015000522136688</v>
      </c>
      <c r="AR26" s="105">
        <v>0.24745000898838043</v>
      </c>
      <c r="AS26" s="106">
        <v>0.39127120167522106</v>
      </c>
      <c r="AT26" s="106">
        <v>0.11738136050256631</v>
      </c>
      <c r="AU26" s="95">
        <v>0.12337712178998074</v>
      </c>
      <c r="AW26" s="24" t="s">
        <v>43</v>
      </c>
      <c r="AX26" s="79" t="s">
        <v>200</v>
      </c>
      <c r="AY26" s="85">
        <v>25814753.362902701</v>
      </c>
      <c r="AZ26" s="10">
        <v>19574207.134315699</v>
      </c>
      <c r="BA26" s="89">
        <v>997443.32949742104</v>
      </c>
      <c r="BC26" s="79" t="s">
        <v>200</v>
      </c>
      <c r="BD26" s="85">
        <f t="shared" si="8"/>
        <v>219922083.475411</v>
      </c>
      <c r="BE26" s="85">
        <f t="shared" si="9"/>
        <v>166757371.44729847</v>
      </c>
      <c r="BF26" s="85">
        <f t="shared" si="10"/>
        <v>8497459.2663339749</v>
      </c>
    </row>
    <row r="27" spans="1:58" ht="16" x14ac:dyDescent="0.2">
      <c r="A27" s="24" t="s">
        <v>44</v>
      </c>
      <c r="B27" s="72" t="s">
        <v>167</v>
      </c>
      <c r="C27" s="53">
        <v>222909.904332201</v>
      </c>
      <c r="D27" s="53">
        <v>266725.03771410801</v>
      </c>
      <c r="E27" s="53">
        <v>7426321.5597265903</v>
      </c>
      <c r="F27" s="53">
        <v>28422471.806480199</v>
      </c>
      <c r="G27" s="53">
        <v>102727.609364453</v>
      </c>
      <c r="H27" s="53">
        <v>15489628.458518101</v>
      </c>
      <c r="I27" s="53">
        <v>18877416.518090401</v>
      </c>
      <c r="J27" s="53">
        <v>7552653.3487048596</v>
      </c>
      <c r="K27" s="53">
        <v>516245.903652307</v>
      </c>
      <c r="S27" s="116" t="s">
        <v>44</v>
      </c>
      <c r="T27" s="117" t="s">
        <v>167</v>
      </c>
      <c r="U27" s="86">
        <f t="shared" si="0"/>
        <v>7.6348637605873459E-2</v>
      </c>
      <c r="V27" s="86">
        <f t="shared" si="1"/>
        <v>8.346976321020376E-2</v>
      </c>
      <c r="W27" s="86">
        <f t="shared" si="2"/>
        <v>2.3674549446333888</v>
      </c>
      <c r="X27" s="75">
        <f t="shared" ref="X27:X50" si="19">((G27-$O$8)/$O$7) / 6</f>
        <v>0.17714195222056942</v>
      </c>
      <c r="Y27" s="86">
        <f t="shared" si="3"/>
        <v>3.1896720159892418</v>
      </c>
      <c r="Z27" s="75">
        <f t="shared" si="4"/>
        <v>9.8829588036154181</v>
      </c>
      <c r="AA27" s="75">
        <f>((J27-$Q$4)/$Q$3)/6</f>
        <v>8.0081307970286217E-2</v>
      </c>
      <c r="AB27" s="75">
        <f t="shared" si="6"/>
        <v>1.1929738387517348</v>
      </c>
      <c r="AD27" s="96" t="s">
        <v>44</v>
      </c>
      <c r="AE27" s="72" t="s">
        <v>167</v>
      </c>
      <c r="AF27" s="77">
        <f>((U27 * 0.00005 * 1000) * (0.0005/0.0003) )/$AU$3</f>
        <v>7.2306808483293475E-2</v>
      </c>
      <c r="AG27" s="75">
        <f t="shared" ref="AG27:AM27" si="20">(V27*0.0005*1000) /$AU3</f>
        <v>0.4743056881047808</v>
      </c>
      <c r="AH27" s="75">
        <f t="shared" si="20"/>
        <v>13.452743884555993</v>
      </c>
      <c r="AI27" s="75">
        <f t="shared" si="20"/>
        <v>1.0065852868015615</v>
      </c>
      <c r="AJ27" s="75">
        <f t="shared" si="20"/>
        <v>18.124881659990127</v>
      </c>
      <c r="AK27" s="75">
        <f t="shared" si="20"/>
        <v>56.158582408521596</v>
      </c>
      <c r="AL27" s="75">
        <f t="shared" si="20"/>
        <v>0.4550512475460603</v>
      </c>
      <c r="AM27" s="75">
        <f t="shared" si="20"/>
        <v>6.7789131742855231</v>
      </c>
      <c r="AP27" s="71" t="s">
        <v>68</v>
      </c>
      <c r="AQ27" s="10">
        <v>0.32718272640747703</v>
      </c>
      <c r="AR27" s="10">
        <v>0.21741759211308984</v>
      </c>
      <c r="AS27" s="10">
        <v>0.35354322646150693</v>
      </c>
      <c r="AT27" s="10">
        <v>1.0606296793845207</v>
      </c>
      <c r="AW27" s="24" t="s">
        <v>44</v>
      </c>
      <c r="AX27" s="79" t="s">
        <v>167</v>
      </c>
      <c r="AY27" s="88">
        <v>26798995.7443799</v>
      </c>
      <c r="AZ27" s="89">
        <v>1567495.7379384399</v>
      </c>
      <c r="BA27" s="88">
        <v>91421.533035356595</v>
      </c>
      <c r="BC27" s="79" t="s">
        <v>167</v>
      </c>
      <c r="BD27" s="85">
        <f t="shared" ref="BD27:BD74" si="21">AY27/$AT3</f>
        <v>239621235.92733651</v>
      </c>
      <c r="BE27" s="85">
        <f t="shared" ref="BE27:BE74" si="22">AZ27/$AT3</f>
        <v>14015647.064476687</v>
      </c>
      <c r="BF27" s="85">
        <f t="shared" ref="BF27:BF74" si="23">BA27/$AT3</f>
        <v>817438.86768212426</v>
      </c>
    </row>
    <row r="28" spans="1:58" ht="16" x14ac:dyDescent="0.2">
      <c r="A28" s="24" t="s">
        <v>45</v>
      </c>
      <c r="B28" s="72" t="s">
        <v>167</v>
      </c>
      <c r="C28" s="53">
        <v>128209.240408688</v>
      </c>
      <c r="D28" s="53">
        <v>250202.022859527</v>
      </c>
      <c r="E28" s="53">
        <v>5100530.8339958899</v>
      </c>
      <c r="F28" s="53">
        <v>16286779.2664697</v>
      </c>
      <c r="G28" s="53">
        <v>0</v>
      </c>
      <c r="H28" s="53">
        <v>8585909.6061954908</v>
      </c>
      <c r="I28" s="53">
        <v>11463990.6749915</v>
      </c>
      <c r="J28" s="53">
        <v>5298947.4898435604</v>
      </c>
      <c r="K28" s="53">
        <v>329480.02553633897</v>
      </c>
      <c r="S28" s="116" t="s">
        <v>45</v>
      </c>
      <c r="T28" s="117" t="s">
        <v>167</v>
      </c>
      <c r="U28" s="86">
        <f t="shared" ref="U28:U50" si="24">((C28-$N$4)/$N$3)/6</f>
        <v>1.1301704609478677E-2</v>
      </c>
      <c r="V28" s="86">
        <f t="shared" si="1"/>
        <v>8.1780148435960029E-2</v>
      </c>
      <c r="W28" s="86">
        <f t="shared" si="2"/>
        <v>1.3657278915200697</v>
      </c>
      <c r="X28" s="75">
        <f t="shared" si="19"/>
        <v>0.15344833457711413</v>
      </c>
      <c r="Y28" s="86">
        <f t="shared" si="3"/>
        <v>1.8186203420147915</v>
      </c>
      <c r="Z28" s="75">
        <f t="shared" si="4"/>
        <v>6.0259591163386332</v>
      </c>
      <c r="AA28" s="75">
        <f t="shared" ref="AA28:AA50" si="25">(J28-$Q$4)/$Q$3</f>
        <v>0.36416666428973016</v>
      </c>
      <c r="AB28" s="75">
        <f t="shared" si="6"/>
        <v>0.75205200389929461</v>
      </c>
      <c r="AD28" s="96" t="s">
        <v>45</v>
      </c>
      <c r="AE28" s="72" t="s">
        <v>167</v>
      </c>
      <c r="AF28" s="77">
        <f>((U28 * 0.00005 * 1000) * (0.0005/0.0003) )/$AU$3</f>
        <v>1.0703402396658665E-2</v>
      </c>
      <c r="AG28" s="75">
        <f t="shared" ref="AG28:AG50" si="26">(V28*0.0005*1000) /$AU4</f>
        <v>0.46470467969995877</v>
      </c>
      <c r="AH28" s="75">
        <f t="shared" ref="AH28:AH50" si="27">(W28*0.0005*1000) /$AU4</f>
        <v>7.7605648133925831</v>
      </c>
      <c r="AI28" s="75">
        <f t="shared" ref="AI28:AI50" si="28">(X28*0.0005*1000) /$AU4</f>
        <v>0.87194949549387935</v>
      </c>
      <c r="AJ28" s="75">
        <f t="shared" ref="AJ28:AJ50" si="29">(Y28*0.0005*1000) /$AU4</f>
        <v>10.334065169783914</v>
      </c>
      <c r="AK28" s="75">
        <f t="shared" ref="AK28:AK50" si="30">(Z28*0.0005*1000) /$AU4</f>
        <v>34.241701129168632</v>
      </c>
      <c r="AL28" s="75">
        <f t="shared" ref="AL28:AL50" si="31">(AA28*0.0005*1000) /$AU4</f>
        <v>2.0693280254765147</v>
      </c>
      <c r="AM28" s="75">
        <f t="shared" ref="AM28:AM50" si="32">(AB28*0.0005*1000) /$AU4</f>
        <v>4.2734342291320786</v>
      </c>
      <c r="AP28" s="71" t="s">
        <v>69</v>
      </c>
      <c r="AQ28" s="10">
        <v>0.35002198588759931</v>
      </c>
      <c r="AR28" s="10">
        <v>0.24025685159321211</v>
      </c>
      <c r="AS28" s="10">
        <v>0.39385254428734928</v>
      </c>
      <c r="AT28" s="10">
        <v>1.1815576328620478</v>
      </c>
      <c r="AW28" s="24" t="s">
        <v>45</v>
      </c>
      <c r="AX28" s="79" t="s">
        <v>167</v>
      </c>
      <c r="AY28" s="88">
        <v>14453837.906302899</v>
      </c>
      <c r="AZ28" s="89">
        <v>1906021.3564037799</v>
      </c>
      <c r="BA28" s="88">
        <v>40502.228847897903</v>
      </c>
      <c r="BC28" s="79" t="s">
        <v>167</v>
      </c>
      <c r="BD28" s="85">
        <f t="shared" si="21"/>
        <v>179607505.88201582</v>
      </c>
      <c r="BE28" s="85">
        <f t="shared" si="22"/>
        <v>23684764.157501519</v>
      </c>
      <c r="BF28" s="85">
        <f t="shared" si="23"/>
        <v>503292.22959262424</v>
      </c>
    </row>
    <row r="29" spans="1:58" ht="16" x14ac:dyDescent="0.2">
      <c r="A29" s="24" t="s">
        <v>46</v>
      </c>
      <c r="B29" s="72" t="s">
        <v>167</v>
      </c>
      <c r="C29" s="53">
        <v>197918.26652057201</v>
      </c>
      <c r="D29" s="53">
        <v>409321.98196409899</v>
      </c>
      <c r="E29" s="53">
        <v>17840930.679268099</v>
      </c>
      <c r="F29" s="53">
        <v>22312226.243956301</v>
      </c>
      <c r="G29" s="53">
        <v>0</v>
      </c>
      <c r="H29" s="53">
        <v>15802475.327217299</v>
      </c>
      <c r="I29" s="53">
        <v>11056346.5042975</v>
      </c>
      <c r="J29" s="53">
        <v>7074180.3047846695</v>
      </c>
      <c r="K29" s="53">
        <v>442414.06736682297</v>
      </c>
      <c r="S29" s="116" t="s">
        <v>46</v>
      </c>
      <c r="T29" s="117" t="s">
        <v>167</v>
      </c>
      <c r="U29" s="86">
        <f t="shared" si="24"/>
        <v>1.2349223210773169E-2</v>
      </c>
      <c r="V29" s="86">
        <f t="shared" si="1"/>
        <v>9.8051478828524719E-2</v>
      </c>
      <c r="W29" s="86">
        <f t="shared" si="2"/>
        <v>1.8630916162970808</v>
      </c>
      <c r="X29" s="75">
        <f t="shared" si="19"/>
        <v>0.15344833457711413</v>
      </c>
      <c r="Y29" s="86">
        <f t="shared" si="3"/>
        <v>3.2518021855692787</v>
      </c>
      <c r="Z29" s="75">
        <f t="shared" si="4"/>
        <v>5.8138731695491899</v>
      </c>
      <c r="AA29" s="75">
        <f t="shared" si="25"/>
        <v>0.45579227783945275</v>
      </c>
      <c r="AB29" s="75">
        <f t="shared" si="6"/>
        <v>1.0186696829074489</v>
      </c>
      <c r="AD29" s="96" t="s">
        <v>46</v>
      </c>
      <c r="AE29" s="72" t="s">
        <v>167</v>
      </c>
      <c r="AF29" s="77">
        <f>((U29 * 0.00005 * 1000) * (0.0005/0.0003) )/$AU$3</f>
        <v>1.1695466292775411E-2</v>
      </c>
      <c r="AG29" s="75">
        <f t="shared" si="26"/>
        <v>0.55716432330515575</v>
      </c>
      <c r="AH29" s="75">
        <f t="shared" si="27"/>
        <v>10.586767196699203</v>
      </c>
      <c r="AI29" s="75">
        <f t="shared" si="28"/>
        <v>0.87194949549387935</v>
      </c>
      <c r="AJ29" s="75">
        <f t="shared" si="29"/>
        <v>18.477927981213234</v>
      </c>
      <c r="AK29" s="75">
        <f t="shared" si="30"/>
        <v>33.036551299331521</v>
      </c>
      <c r="AL29" s="75">
        <f t="shared" si="31"/>
        <v>2.5899782347418898</v>
      </c>
      <c r="AM29" s="75">
        <f t="shared" si="32"/>
        <v>5.788453283210373</v>
      </c>
      <c r="AP29" s="71" t="s">
        <v>70</v>
      </c>
      <c r="AQ29" s="10">
        <v>0.33752620336716571</v>
      </c>
      <c r="AR29" s="10">
        <v>0.22776106907277852</v>
      </c>
      <c r="AS29" s="10">
        <v>0.37179856878358369</v>
      </c>
      <c r="AT29" s="10">
        <v>1.1153957063507511</v>
      </c>
      <c r="AW29" s="24" t="s">
        <v>46</v>
      </c>
      <c r="AX29" s="79" t="s">
        <v>167</v>
      </c>
      <c r="AY29" s="88">
        <v>21981926.654068299</v>
      </c>
      <c r="AZ29" s="89">
        <v>3123331.5126408399</v>
      </c>
      <c r="BA29" s="88">
        <v>597937.64672455995</v>
      </c>
      <c r="BC29" s="79" t="s">
        <v>167</v>
      </c>
      <c r="BD29" s="85">
        <f t="shared" si="21"/>
        <v>306748730.52472568</v>
      </c>
      <c r="BE29" s="85">
        <f t="shared" si="22"/>
        <v>43584804.534553066</v>
      </c>
      <c r="BF29" s="85">
        <f t="shared" si="23"/>
        <v>8343973.5266223755</v>
      </c>
    </row>
    <row r="30" spans="1:58" ht="16" x14ac:dyDescent="0.2">
      <c r="A30" s="24" t="s">
        <v>47</v>
      </c>
      <c r="B30" s="72" t="s">
        <v>205</v>
      </c>
      <c r="C30" s="53">
        <v>172847.59659464</v>
      </c>
      <c r="D30" s="53">
        <v>397766.10740654101</v>
      </c>
      <c r="E30" s="53">
        <v>61777646.880206503</v>
      </c>
      <c r="F30" s="53">
        <v>13538904.8838866</v>
      </c>
      <c r="G30" s="53">
        <v>112620.27420630099</v>
      </c>
      <c r="H30" s="53">
        <v>22680301.768384699</v>
      </c>
      <c r="I30" s="53">
        <v>12753537.3462632</v>
      </c>
      <c r="J30" s="53">
        <v>7833380.8514643703</v>
      </c>
      <c r="K30" s="53">
        <v>249030.39707710099</v>
      </c>
      <c r="S30" s="116" t="s">
        <v>47</v>
      </c>
      <c r="T30" s="117" t="s">
        <v>205</v>
      </c>
      <c r="U30" s="75">
        <f t="shared" si="24"/>
        <v>1.1972485870443994E-2</v>
      </c>
      <c r="V30" s="75">
        <f t="shared" si="1"/>
        <v>9.6869795185824142E-2</v>
      </c>
      <c r="W30" s="75">
        <f t="shared" si="2"/>
        <v>1.1389076998816148</v>
      </c>
      <c r="X30" s="86">
        <f t="shared" si="19"/>
        <v>0.17942364669090435</v>
      </c>
      <c r="Y30" s="75">
        <f t="shared" si="3"/>
        <v>4.6177117275396657</v>
      </c>
      <c r="Z30" s="75">
        <f t="shared" si="4"/>
        <v>6.6968744546843757</v>
      </c>
      <c r="AA30" s="75">
        <f t="shared" si="25"/>
        <v>0.49497711901146541</v>
      </c>
      <c r="AB30" s="75">
        <f t="shared" si="6"/>
        <v>0.56212438890198357</v>
      </c>
      <c r="AD30" s="96" t="s">
        <v>47</v>
      </c>
      <c r="AE30" s="72" t="s">
        <v>205</v>
      </c>
      <c r="AF30" s="77">
        <f>((U30 * 0.00005 * 1000) * (0.0005/0.0003) )/$AU$6</f>
        <v>1.1655226371698935E-2</v>
      </c>
      <c r="AG30" s="75">
        <f t="shared" si="26"/>
        <v>0.5658170259819344</v>
      </c>
      <c r="AH30" s="75">
        <f t="shared" si="27"/>
        <v>6.6523663684719319</v>
      </c>
      <c r="AI30" s="75">
        <f t="shared" si="28"/>
        <v>1.0480145433025272</v>
      </c>
      <c r="AJ30" s="75">
        <f t="shared" si="29"/>
        <v>26.972080528366252</v>
      </c>
      <c r="AK30" s="75">
        <f t="shared" si="30"/>
        <v>39.116481871930411</v>
      </c>
      <c r="AL30" s="75">
        <f t="shared" si="31"/>
        <v>2.8911641742498295</v>
      </c>
      <c r="AM30" s="75">
        <f t="shared" si="32"/>
        <v>3.2833717605193948</v>
      </c>
      <c r="AP30" s="71" t="s">
        <v>71</v>
      </c>
      <c r="AQ30" s="10">
        <v>0.3396281394511802</v>
      </c>
      <c r="AR30" s="10">
        <v>0.229863005156793</v>
      </c>
      <c r="AS30" s="10">
        <v>0.37550830419483411</v>
      </c>
      <c r="AT30" s="10">
        <v>1.1265249125845023</v>
      </c>
      <c r="AW30" s="24" t="s">
        <v>47</v>
      </c>
      <c r="AX30" s="79" t="s">
        <v>205</v>
      </c>
      <c r="AY30" s="85">
        <v>3355962.00644759</v>
      </c>
      <c r="AZ30" s="10">
        <v>832009.76258359104</v>
      </c>
      <c r="BA30" s="10">
        <v>0</v>
      </c>
      <c r="BC30" s="79" t="s">
        <v>205</v>
      </c>
      <c r="BD30" s="85">
        <f t="shared" si="21"/>
        <v>38808654.930446371</v>
      </c>
      <c r="BE30" s="85">
        <f t="shared" si="22"/>
        <v>9621437.8210581969</v>
      </c>
      <c r="BF30" s="85">
        <f t="shared" si="23"/>
        <v>0</v>
      </c>
    </row>
    <row r="31" spans="1:58" ht="16" x14ac:dyDescent="0.2">
      <c r="A31" s="24" t="s">
        <v>48</v>
      </c>
      <c r="B31" s="72" t="s">
        <v>205</v>
      </c>
      <c r="C31" s="53">
        <v>155192.402262989</v>
      </c>
      <c r="D31" s="53">
        <v>513104.60278692399</v>
      </c>
      <c r="E31" s="53">
        <v>63642183.586545303</v>
      </c>
      <c r="F31" s="53">
        <v>12389755.2311274</v>
      </c>
      <c r="G31" s="53">
        <v>0</v>
      </c>
      <c r="H31" s="53">
        <v>21799349.9353594</v>
      </c>
      <c r="I31" s="53">
        <v>10391063.6836798</v>
      </c>
      <c r="J31" s="53">
        <v>9328565.5094254501</v>
      </c>
      <c r="K31" s="53">
        <v>225270.47111536301</v>
      </c>
      <c r="S31" s="116" t="s">
        <v>48</v>
      </c>
      <c r="T31" s="117" t="s">
        <v>205</v>
      </c>
      <c r="U31" s="75">
        <f t="shared" si="24"/>
        <v>1.1707180995259107E-2</v>
      </c>
      <c r="V31" s="75">
        <f t="shared" si="1"/>
        <v>0.10866410921076776</v>
      </c>
      <c r="W31" s="75">
        <f t="shared" si="2"/>
        <v>1.0440524378972278</v>
      </c>
      <c r="X31" s="86">
        <f t="shared" si="19"/>
        <v>0.15344833457711413</v>
      </c>
      <c r="Y31" s="75">
        <f t="shared" si="3"/>
        <v>4.4427581248225083</v>
      </c>
      <c r="Z31" s="75">
        <f t="shared" si="4"/>
        <v>5.4677449846342823</v>
      </c>
      <c r="AA31" s="75">
        <f t="shared" si="25"/>
        <v>0.57214852464501931</v>
      </c>
      <c r="AB31" s="75">
        <f t="shared" si="6"/>
        <v>0.50603132598980294</v>
      </c>
      <c r="AD31" s="96" t="s">
        <v>48</v>
      </c>
      <c r="AE31" s="72" t="s">
        <v>205</v>
      </c>
      <c r="AF31" s="77">
        <f>((U31 * 0.00005 * 1000) * (0.0005/0.0003) )/$AU$6</f>
        <v>1.1396951823601219E-2</v>
      </c>
      <c r="AG31" s="75">
        <f t="shared" si="26"/>
        <v>0.63470768144671641</v>
      </c>
      <c r="AH31" s="75">
        <f t="shared" si="27"/>
        <v>6.0983162424054198</v>
      </c>
      <c r="AI31" s="75">
        <f t="shared" si="28"/>
        <v>0.89629259714806608</v>
      </c>
      <c r="AJ31" s="75">
        <f t="shared" si="29"/>
        <v>25.950175537400263</v>
      </c>
      <c r="AK31" s="75">
        <f t="shared" si="30"/>
        <v>31.937129629506469</v>
      </c>
      <c r="AL31" s="75">
        <f t="shared" si="31"/>
        <v>3.3419227945469108</v>
      </c>
      <c r="AM31" s="75">
        <f t="shared" si="32"/>
        <v>2.955731860235677</v>
      </c>
      <c r="AP31" s="71" t="s">
        <v>72</v>
      </c>
      <c r="AQ31" s="10">
        <v>0.33765118465145466</v>
      </c>
      <c r="AR31" s="10">
        <v>0.22788605035706747</v>
      </c>
      <c r="AS31" s="10">
        <v>0.3720191499418769</v>
      </c>
      <c r="AT31" s="10">
        <v>1.1160574498256306</v>
      </c>
      <c r="AW31" s="24" t="s">
        <v>48</v>
      </c>
      <c r="AX31" s="79" t="s">
        <v>205</v>
      </c>
      <c r="AY31" s="85">
        <v>3048769.4274545</v>
      </c>
      <c r="AZ31" s="10">
        <v>853179.77930826298</v>
      </c>
      <c r="BA31" s="10">
        <v>0</v>
      </c>
      <c r="BC31" s="79" t="s">
        <v>205</v>
      </c>
      <c r="BD31" s="85">
        <f t="shared" si="21"/>
        <v>35982674.214007601</v>
      </c>
      <c r="BE31" s="85">
        <f t="shared" si="22"/>
        <v>10069534.864911098</v>
      </c>
      <c r="BF31" s="85">
        <f t="shared" si="23"/>
        <v>0</v>
      </c>
    </row>
    <row r="32" spans="1:58" ht="16" x14ac:dyDescent="0.2">
      <c r="A32" s="24" t="s">
        <v>49</v>
      </c>
      <c r="B32" s="72" t="s">
        <v>205</v>
      </c>
      <c r="C32" s="53">
        <v>173544.124945018</v>
      </c>
      <c r="D32" s="53">
        <v>459266.87626026699</v>
      </c>
      <c r="E32" s="53">
        <v>84842238.707176507</v>
      </c>
      <c r="F32" s="53">
        <v>12285353.833523599</v>
      </c>
      <c r="G32" s="53">
        <v>0</v>
      </c>
      <c r="H32" s="53">
        <v>23041411.2084186</v>
      </c>
      <c r="I32" s="53">
        <v>8900640.8099870998</v>
      </c>
      <c r="J32" s="53">
        <v>9316103.47175299</v>
      </c>
      <c r="K32" s="53">
        <v>217001.81715831999</v>
      </c>
      <c r="S32" s="116" t="s">
        <v>49</v>
      </c>
      <c r="T32" s="117" t="s">
        <v>205</v>
      </c>
      <c r="U32" s="75">
        <f t="shared" si="24"/>
        <v>1.1982952612615644E-2</v>
      </c>
      <c r="V32" s="75">
        <f t="shared" si="1"/>
        <v>0.10315875689148973</v>
      </c>
      <c r="W32" s="75">
        <f t="shared" si="2"/>
        <v>1.035434742284244</v>
      </c>
      <c r="X32" s="86">
        <f t="shared" si="19"/>
        <v>0.15344833457711413</v>
      </c>
      <c r="Y32" s="75">
        <f t="shared" si="3"/>
        <v>4.6894266558032767</v>
      </c>
      <c r="Z32" s="75">
        <f t="shared" si="4"/>
        <v>4.6923193340095848</v>
      </c>
      <c r="AA32" s="75">
        <f t="shared" si="25"/>
        <v>0.57150531782830838</v>
      </c>
      <c r="AB32" s="75">
        <f t="shared" si="6"/>
        <v>0.48651046858652774</v>
      </c>
      <c r="AD32" s="96" t="s">
        <v>49</v>
      </c>
      <c r="AE32" s="72" t="s">
        <v>205</v>
      </c>
      <c r="AF32" s="77">
        <f>((U32 * 0.00005 * 1000) * (0.0005/0.0003) )/$AU$6</f>
        <v>1.1665415755149029E-2</v>
      </c>
      <c r="AG32" s="75">
        <f t="shared" si="26"/>
        <v>0.60255088716113836</v>
      </c>
      <c r="AH32" s="75">
        <f t="shared" si="27"/>
        <v>6.0479802331963324</v>
      </c>
      <c r="AI32" s="75">
        <f t="shared" si="28"/>
        <v>0.89629259714806608</v>
      </c>
      <c r="AJ32" s="75">
        <f t="shared" si="29"/>
        <v>27.390967833235486</v>
      </c>
      <c r="AK32" s="75">
        <f t="shared" si="30"/>
        <v>27.407863983131083</v>
      </c>
      <c r="AL32" s="75">
        <f t="shared" si="31"/>
        <v>3.3381658198632693</v>
      </c>
      <c r="AM32" s="75">
        <f t="shared" si="32"/>
        <v>2.8417104208453012</v>
      </c>
      <c r="AP32" s="71" t="s">
        <v>73</v>
      </c>
      <c r="AQ32" s="10">
        <v>0.31639637108051677</v>
      </c>
      <c r="AR32" s="10">
        <v>0.20663123678612957</v>
      </c>
      <c r="AS32" s="10">
        <v>0.33450624212165475</v>
      </c>
      <c r="AT32" s="10">
        <v>1.0035187263649643</v>
      </c>
      <c r="AW32" s="24" t="s">
        <v>49</v>
      </c>
      <c r="AX32" s="79" t="s">
        <v>205</v>
      </c>
      <c r="AY32" s="85">
        <v>2995179.7760427701</v>
      </c>
      <c r="AZ32" s="10">
        <v>1326156.8200233199</v>
      </c>
      <c r="BA32" s="10">
        <v>0</v>
      </c>
      <c r="BC32" s="79" t="s">
        <v>205</v>
      </c>
      <c r="BD32" s="85">
        <f t="shared" si="21"/>
        <v>88357804.888957813</v>
      </c>
      <c r="BE32" s="85">
        <f t="shared" si="22"/>
        <v>39121626.852927841</v>
      </c>
      <c r="BF32" s="85">
        <f t="shared" si="23"/>
        <v>0</v>
      </c>
    </row>
    <row r="33" spans="1:58" ht="16" x14ac:dyDescent="0.2">
      <c r="A33" s="24" t="s">
        <v>50</v>
      </c>
      <c r="B33" s="72" t="s">
        <v>197</v>
      </c>
      <c r="C33" s="53">
        <v>237883.73429436499</v>
      </c>
      <c r="D33" s="53">
        <v>424097.77174690401</v>
      </c>
      <c r="E33" s="53">
        <v>2448980.7515723398</v>
      </c>
      <c r="F33" s="53">
        <v>15542370.0919223</v>
      </c>
      <c r="G33" s="53">
        <v>139065.851102393</v>
      </c>
      <c r="H33" s="53">
        <v>10077501.418870701</v>
      </c>
      <c r="I33" s="53">
        <v>24237686.706335898</v>
      </c>
      <c r="J33" s="53">
        <v>13019964.860041101</v>
      </c>
      <c r="K33" s="53">
        <v>252233.43473370399</v>
      </c>
      <c r="S33" s="116" t="s">
        <v>50</v>
      </c>
      <c r="T33" s="117" t="s">
        <v>197</v>
      </c>
      <c r="U33" s="75">
        <f t="shared" si="24"/>
        <v>1.2949784906116472E-2</v>
      </c>
      <c r="V33" s="75">
        <f t="shared" si="1"/>
        <v>9.9562425404429125E-2</v>
      </c>
      <c r="W33" s="75">
        <f t="shared" si="2"/>
        <v>1.304281475811087</v>
      </c>
      <c r="X33" s="75">
        <f t="shared" si="19"/>
        <v>0.18552318888032301</v>
      </c>
      <c r="Y33" s="75">
        <f t="shared" si="3"/>
        <v>2.1148446662378033</v>
      </c>
      <c r="Z33" s="75">
        <f t="shared" si="4"/>
        <v>12.6717585943394</v>
      </c>
      <c r="AA33" s="75">
        <f t="shared" si="25"/>
        <v>0.76267380533527429</v>
      </c>
      <c r="AB33" s="75">
        <f t="shared" si="6"/>
        <v>0.56968620509077328</v>
      </c>
      <c r="AD33" s="96" t="s">
        <v>50</v>
      </c>
      <c r="AE33" s="72" t="s">
        <v>197</v>
      </c>
      <c r="AF33" s="77">
        <f>((U33 * 0.00005 * 1000) * (0.0005/0.0003) )/$AU$9</f>
        <v>1.9509659843006087E-2</v>
      </c>
      <c r="AG33" s="75">
        <f t="shared" si="26"/>
        <v>0.89998207701548472</v>
      </c>
      <c r="AH33" s="75">
        <f t="shared" si="27"/>
        <v>11.789889075573534</v>
      </c>
      <c r="AI33" s="75">
        <f t="shared" si="28"/>
        <v>1.677013634258266</v>
      </c>
      <c r="AJ33" s="75">
        <f t="shared" si="29"/>
        <v>19.116873534914376</v>
      </c>
      <c r="AK33" s="75">
        <f t="shared" si="30"/>
        <v>114.5447750277994</v>
      </c>
      <c r="AL33" s="75">
        <f t="shared" si="31"/>
        <v>6.8940943596218265</v>
      </c>
      <c r="AM33" s="75">
        <f t="shared" si="32"/>
        <v>5.149607113547229</v>
      </c>
      <c r="AP33" s="71" t="s">
        <v>74</v>
      </c>
      <c r="AQ33" s="10">
        <v>0.37143026974318433</v>
      </c>
      <c r="AR33" s="10">
        <v>0.2616651354487971</v>
      </c>
      <c r="AS33" s="10">
        <v>0.43163631388774637</v>
      </c>
      <c r="AT33" s="10">
        <v>1.2949089416632389</v>
      </c>
      <c r="AW33" s="24" t="s">
        <v>50</v>
      </c>
      <c r="AX33" s="79" t="s">
        <v>197</v>
      </c>
      <c r="AY33" s="85">
        <v>40437040.503075697</v>
      </c>
      <c r="AZ33" s="10">
        <v>935333.21846583695</v>
      </c>
      <c r="BA33" s="10">
        <v>265458.89494206</v>
      </c>
      <c r="BC33" s="79" t="s">
        <v>197</v>
      </c>
      <c r="BD33" s="85">
        <f t="shared" si="21"/>
        <v>669976236.85999405</v>
      </c>
      <c r="BE33" s="85">
        <f t="shared" si="22"/>
        <v>15496955.813821841</v>
      </c>
      <c r="BF33" s="85">
        <f t="shared" si="23"/>
        <v>4398223.738969381</v>
      </c>
    </row>
    <row r="34" spans="1:58" ht="16" x14ac:dyDescent="0.2">
      <c r="A34" s="24" t="s">
        <v>51</v>
      </c>
      <c r="B34" s="72" t="s">
        <v>197</v>
      </c>
      <c r="C34" s="53">
        <v>263550.39670361002</v>
      </c>
      <c r="D34" s="53">
        <v>476533.522489772</v>
      </c>
      <c r="E34" s="53">
        <v>3504328.2820874299</v>
      </c>
      <c r="F34" s="53">
        <v>18354291.721043698</v>
      </c>
      <c r="G34" s="53">
        <v>104519.40293544601</v>
      </c>
      <c r="H34" s="53">
        <v>11121090.1020783</v>
      </c>
      <c r="I34" s="53">
        <v>27150365.789866701</v>
      </c>
      <c r="J34" s="53">
        <v>12319928.687161</v>
      </c>
      <c r="K34" s="53">
        <v>269918.72066324</v>
      </c>
      <c r="S34" s="116" t="s">
        <v>51</v>
      </c>
      <c r="T34" s="117" t="s">
        <v>197</v>
      </c>
      <c r="U34" s="75">
        <f t="shared" si="24"/>
        <v>1.3335478234605631E-2</v>
      </c>
      <c r="V34" s="75">
        <f t="shared" si="1"/>
        <v>0.10492441411735143</v>
      </c>
      <c r="W34" s="75">
        <f t="shared" si="2"/>
        <v>1.5363883751774534</v>
      </c>
      <c r="X34" s="75">
        <f t="shared" si="19"/>
        <v>0.1775552205914559</v>
      </c>
      <c r="Y34" s="75">
        <f t="shared" si="3"/>
        <v>2.3220973139279977</v>
      </c>
      <c r="Z34" s="75">
        <f t="shared" si="4"/>
        <v>14.187144672528037</v>
      </c>
      <c r="AA34" s="75">
        <f t="shared" si="25"/>
        <v>0.72654263239429495</v>
      </c>
      <c r="AB34" s="75">
        <f t="shared" si="6"/>
        <v>0.61143809682069183</v>
      </c>
      <c r="AD34" s="96" t="s">
        <v>51</v>
      </c>
      <c r="AE34" s="72" t="s">
        <v>197</v>
      </c>
      <c r="AF34" s="77">
        <f>((U34 * 0.00005 * 1000) * (0.0005/0.0003) )/$AU$9</f>
        <v>2.0090730933923294E-2</v>
      </c>
      <c r="AG34" s="75">
        <f t="shared" si="26"/>
        <v>0.9484511025458211</v>
      </c>
      <c r="AH34" s="75">
        <f t="shared" si="27"/>
        <v>13.887990327454798</v>
      </c>
      <c r="AI34" s="75">
        <f t="shared" si="28"/>
        <v>1.6049881826777246</v>
      </c>
      <c r="AJ34" s="75">
        <f t="shared" si="29"/>
        <v>20.990307891073439</v>
      </c>
      <c r="AK34" s="75">
        <f t="shared" si="30"/>
        <v>128.24291772157812</v>
      </c>
      <c r="AL34" s="75">
        <f t="shared" si="31"/>
        <v>6.5674911462475052</v>
      </c>
      <c r="AM34" s="75">
        <f t="shared" si="32"/>
        <v>5.5270181105752965</v>
      </c>
      <c r="AP34" s="71" t="s">
        <v>75</v>
      </c>
      <c r="AQ34" s="10">
        <v>0.35071025569257341</v>
      </c>
      <c r="AR34" s="10">
        <v>0.24094512139818622</v>
      </c>
      <c r="AS34" s="10">
        <v>0.39506728097103111</v>
      </c>
      <c r="AT34" s="10">
        <v>1.1852018429130933</v>
      </c>
      <c r="AW34" s="24" t="s">
        <v>51</v>
      </c>
      <c r="AX34" s="79" t="s">
        <v>197</v>
      </c>
      <c r="AY34" s="85">
        <v>53171500.868527398</v>
      </c>
      <c r="AZ34" s="10">
        <v>1062994.35362044</v>
      </c>
      <c r="BA34" s="10">
        <v>249768.596456367</v>
      </c>
      <c r="BC34" s="79" t="s">
        <v>197</v>
      </c>
      <c r="BD34" s="85">
        <f t="shared" si="21"/>
        <v>486903374.60590744</v>
      </c>
      <c r="BE34" s="85">
        <f t="shared" si="22"/>
        <v>9734078.0213178881</v>
      </c>
      <c r="BF34" s="85">
        <f t="shared" si="23"/>
        <v>2287187.1302991547</v>
      </c>
    </row>
    <row r="35" spans="1:58" ht="16" x14ac:dyDescent="0.2">
      <c r="A35" s="24" t="s">
        <v>52</v>
      </c>
      <c r="B35" s="72" t="s">
        <v>197</v>
      </c>
      <c r="C35" s="53">
        <v>264745.30337508197</v>
      </c>
      <c r="D35" s="53">
        <v>442431.31586440798</v>
      </c>
      <c r="E35" s="53">
        <v>3879184.8699920801</v>
      </c>
      <c r="F35" s="53">
        <v>16991295.812380999</v>
      </c>
      <c r="G35" s="53">
        <v>106943.777212386</v>
      </c>
      <c r="H35" s="53">
        <v>11156038.8803121</v>
      </c>
      <c r="I35" s="53">
        <v>32359110.664359</v>
      </c>
      <c r="J35" s="53">
        <v>12286210.5000176</v>
      </c>
      <c r="K35" s="53">
        <v>265756.46646742598</v>
      </c>
      <c r="S35" s="116" t="s">
        <v>52</v>
      </c>
      <c r="T35" s="117" t="s">
        <v>197</v>
      </c>
      <c r="U35" s="75">
        <f t="shared" si="24"/>
        <v>1.3353434115428997E-2</v>
      </c>
      <c r="V35" s="75">
        <f t="shared" ref="V35:V67" si="33">(D35-$O$12)/$O$11</f>
        <v>0.10143718175354634</v>
      </c>
      <c r="W35" s="75">
        <f t="shared" ref="W35:W67" si="34">(F35-$O$4)/$O$3</f>
        <v>1.4238814151923733</v>
      </c>
      <c r="X35" s="75">
        <f t="shared" si="19"/>
        <v>0.17811439058964651</v>
      </c>
      <c r="Y35" s="75">
        <f t="shared" ref="Y35:Y67" si="35">(H35-$P$8)/$P$7</f>
        <v>2.3290380051591728</v>
      </c>
      <c r="Z35" s="75">
        <f t="shared" ref="Z35:Z67" si="36">(I35-$P$4)/$P$3</f>
        <v>16.897110048484834</v>
      </c>
      <c r="AA35" s="75">
        <f t="shared" si="25"/>
        <v>0.72480232568139713</v>
      </c>
      <c r="AB35" s="75">
        <f t="shared" si="6"/>
        <v>0.60161173680432389</v>
      </c>
      <c r="AD35" s="96" t="s">
        <v>52</v>
      </c>
      <c r="AE35" s="72" t="s">
        <v>197</v>
      </c>
      <c r="AF35" s="77">
        <f>((U35 * 0.00005 * 1000) * (0.0005/0.0003) )/$AU$9</f>
        <v>2.0117782589961226E-2</v>
      </c>
      <c r="AG35" s="75">
        <f t="shared" si="26"/>
        <v>0.91692870227218026</v>
      </c>
      <c r="AH35" s="75">
        <f t="shared" si="27"/>
        <v>12.870997751040864</v>
      </c>
      <c r="AI35" s="75">
        <f t="shared" si="28"/>
        <v>1.6100427298558602</v>
      </c>
      <c r="AJ35" s="75">
        <f t="shared" si="29"/>
        <v>21.053047400328889</v>
      </c>
      <c r="AK35" s="75">
        <f t="shared" si="30"/>
        <v>152.73931038966143</v>
      </c>
      <c r="AL35" s="75">
        <f t="shared" si="31"/>
        <v>6.5517598616413348</v>
      </c>
      <c r="AM35" s="75">
        <f t="shared" si="32"/>
        <v>5.4381939596859459</v>
      </c>
      <c r="AP35" s="71" t="s">
        <v>76</v>
      </c>
      <c r="AQ35" s="10">
        <v>0.34742543060015152</v>
      </c>
      <c r="AR35" s="10">
        <v>0.23766029630576432</v>
      </c>
      <c r="AS35" s="10">
        <v>0.38926984875708492</v>
      </c>
      <c r="AT35" s="10">
        <v>1.1678095462712548</v>
      </c>
      <c r="AW35" s="24" t="s">
        <v>52</v>
      </c>
      <c r="AX35" s="79" t="s">
        <v>197</v>
      </c>
      <c r="AY35" s="85">
        <v>43974790.236830197</v>
      </c>
      <c r="AZ35" s="10">
        <v>808491.29264439305</v>
      </c>
      <c r="BA35" s="10">
        <v>287896.36348938401</v>
      </c>
      <c r="BC35" s="79" t="s">
        <v>197</v>
      </c>
      <c r="BD35" s="85">
        <f t="shared" si="21"/>
        <v>874751367.98493111</v>
      </c>
      <c r="BE35" s="85">
        <f t="shared" si="22"/>
        <v>16082597.789227493</v>
      </c>
      <c r="BF35" s="85">
        <f t="shared" si="23"/>
        <v>5726866.153173916</v>
      </c>
    </row>
    <row r="36" spans="1:58" ht="16" x14ac:dyDescent="0.2">
      <c r="A36" s="24" t="s">
        <v>53</v>
      </c>
      <c r="B36" s="72" t="s">
        <v>201</v>
      </c>
      <c r="C36" s="53">
        <v>188514.32715988799</v>
      </c>
      <c r="D36" s="53">
        <v>325913.53418075101</v>
      </c>
      <c r="E36" s="53">
        <v>2373773.8406250998</v>
      </c>
      <c r="F36" s="53">
        <v>27669511.838989701</v>
      </c>
      <c r="G36" s="53">
        <v>0</v>
      </c>
      <c r="H36" s="53">
        <v>8756636.8788624909</v>
      </c>
      <c r="I36" s="53">
        <v>20686990.097898599</v>
      </c>
      <c r="J36" s="53">
        <v>10168879.801859001</v>
      </c>
      <c r="K36" s="53">
        <v>372676.51526096102</v>
      </c>
      <c r="O36" s="35">
        <f>0.076/6</f>
        <v>1.2666666666666666E-2</v>
      </c>
      <c r="P36" s="35">
        <f>0.076*6</f>
        <v>0.45599999999999996</v>
      </c>
      <c r="S36" s="116" t="s">
        <v>53</v>
      </c>
      <c r="T36" s="117" t="s">
        <v>201</v>
      </c>
      <c r="U36" s="75">
        <f t="shared" si="24"/>
        <v>1.2207910070205816E-2</v>
      </c>
      <c r="V36" s="75">
        <f t="shared" si="33"/>
        <v>8.9522275961385234E-2</v>
      </c>
      <c r="W36" s="75">
        <f t="shared" si="34"/>
        <v>2.305302713365184</v>
      </c>
      <c r="X36" s="75">
        <f t="shared" si="19"/>
        <v>0.15344833457711413</v>
      </c>
      <c r="Y36" s="75">
        <f t="shared" si="35"/>
        <v>1.8525261133809636</v>
      </c>
      <c r="Z36" s="75">
        <f t="shared" si="36"/>
        <v>10.8244297077753</v>
      </c>
      <c r="AA36" s="75">
        <f t="shared" si="25"/>
        <v>0.61551991344022883</v>
      </c>
      <c r="AB36" s="75">
        <f t="shared" si="6"/>
        <v>0.85403142166391743</v>
      </c>
      <c r="AD36" s="96" t="s">
        <v>53</v>
      </c>
      <c r="AE36" s="72" t="s">
        <v>201</v>
      </c>
      <c r="AF36" s="77">
        <f>((U36 * 0.00005 * 1000) * (0.0005/0.0003) )/$AU$12</f>
        <v>9.8405153013667781E-3</v>
      </c>
      <c r="AG36" s="75">
        <f t="shared" si="26"/>
        <v>0.43297107597205892</v>
      </c>
      <c r="AH36" s="75">
        <f t="shared" si="27"/>
        <v>11.149508717557248</v>
      </c>
      <c r="AI36" s="75">
        <f t="shared" si="28"/>
        <v>0.74214702222976792</v>
      </c>
      <c r="AJ36" s="75">
        <f t="shared" si="29"/>
        <v>8.9596719471572381</v>
      </c>
      <c r="AK36" s="75">
        <f t="shared" si="30"/>
        <v>52.351941760070396</v>
      </c>
      <c r="AL36" s="75">
        <f t="shared" si="31"/>
        <v>2.9769386037437005</v>
      </c>
      <c r="AM36" s="75">
        <f t="shared" si="32"/>
        <v>4.1304904235373918</v>
      </c>
      <c r="AP36" s="71" t="s">
        <v>77</v>
      </c>
      <c r="AQ36" s="10">
        <v>0.32684358310781664</v>
      </c>
      <c r="AR36" s="10">
        <v>0.21707844881342944</v>
      </c>
      <c r="AS36" s="10">
        <v>0.35294466786697748</v>
      </c>
      <c r="AT36" s="10">
        <v>1.0588340036009323</v>
      </c>
      <c r="AW36" s="24" t="s">
        <v>53</v>
      </c>
      <c r="AX36" s="79" t="s">
        <v>201</v>
      </c>
      <c r="AY36" s="88">
        <v>0</v>
      </c>
      <c r="AZ36" s="89">
        <v>10339279.838909401</v>
      </c>
      <c r="BA36" s="89">
        <v>3841475.2478651898</v>
      </c>
      <c r="BC36" s="79" t="s">
        <v>201</v>
      </c>
      <c r="BD36" s="85">
        <f t="shared" si="21"/>
        <v>0</v>
      </c>
      <c r="BE36" s="85">
        <f t="shared" si="22"/>
        <v>277028828.68923056</v>
      </c>
      <c r="BF36" s="85">
        <f t="shared" si="23"/>
        <v>102927805.89513652</v>
      </c>
    </row>
    <row r="37" spans="1:58" ht="16" x14ac:dyDescent="0.2">
      <c r="A37" s="24" t="s">
        <v>54</v>
      </c>
      <c r="B37" s="72" t="s">
        <v>201</v>
      </c>
      <c r="C37" s="53">
        <v>224781.075250186</v>
      </c>
      <c r="D37" s="53">
        <v>410224.79413745902</v>
      </c>
      <c r="E37" s="53">
        <v>2446283.0841640602</v>
      </c>
      <c r="F37" s="53">
        <v>31200023.021917202</v>
      </c>
      <c r="G37" s="53">
        <v>0</v>
      </c>
      <c r="H37" s="53">
        <v>9491844.7040435299</v>
      </c>
      <c r="I37" s="53">
        <v>24547435.4760915</v>
      </c>
      <c r="J37" s="53">
        <v>10945033.981566099</v>
      </c>
      <c r="K37" s="53">
        <v>415347.05033698602</v>
      </c>
      <c r="S37" s="116" t="s">
        <v>54</v>
      </c>
      <c r="T37" s="117" t="s">
        <v>201</v>
      </c>
      <c r="U37" s="75">
        <f t="shared" si="24"/>
        <v>1.2752891048308623E-2</v>
      </c>
      <c r="V37" s="75">
        <f t="shared" si="33"/>
        <v>9.8143798831859544E-2</v>
      </c>
      <c r="W37" s="75">
        <f t="shared" si="34"/>
        <v>2.5967247769678701</v>
      </c>
      <c r="X37" s="75">
        <f t="shared" si="19"/>
        <v>0.15344833457711413</v>
      </c>
      <c r="Y37" s="75">
        <f t="shared" si="35"/>
        <v>1.9985355238155231</v>
      </c>
      <c r="Z37" s="75">
        <f t="shared" si="36"/>
        <v>12.83291228136169</v>
      </c>
      <c r="AA37" s="75">
        <f t="shared" si="25"/>
        <v>0.65557978746143075</v>
      </c>
      <c r="AB37" s="75">
        <f t="shared" si="6"/>
        <v>0.95476915175492472</v>
      </c>
      <c r="AD37" s="96" t="s">
        <v>54</v>
      </c>
      <c r="AE37" s="72" t="s">
        <v>201</v>
      </c>
      <c r="AF37" s="77">
        <f>((U37 * 0.00005 * 1000) * (0.0005/0.0003) )/$AU$12</f>
        <v>1.0279811923240085E-2</v>
      </c>
      <c r="AG37" s="75">
        <f t="shared" si="26"/>
        <v>0.4746687427668253</v>
      </c>
      <c r="AH37" s="75">
        <f t="shared" si="27"/>
        <v>12.55896042200764</v>
      </c>
      <c r="AI37" s="75">
        <f t="shared" si="28"/>
        <v>0.74214702222976792</v>
      </c>
      <c r="AJ37" s="75">
        <f t="shared" si="29"/>
        <v>9.665840896270705</v>
      </c>
      <c r="AK37" s="75">
        <f t="shared" si="30"/>
        <v>62.065891183473475</v>
      </c>
      <c r="AL37" s="75">
        <f t="shared" si="31"/>
        <v>3.1706866577559381</v>
      </c>
      <c r="AM37" s="75">
        <f t="shared" si="32"/>
        <v>4.61770461598375</v>
      </c>
      <c r="AP37" s="71" t="s">
        <v>78</v>
      </c>
      <c r="AQ37" s="10">
        <v>0.35282371770902848</v>
      </c>
      <c r="AR37" s="10">
        <v>0.24305858341464129</v>
      </c>
      <c r="AS37" s="10">
        <v>0.3987973586562677</v>
      </c>
      <c r="AT37" s="10">
        <v>1.1963920759688031</v>
      </c>
      <c r="AW37" s="24" t="s">
        <v>54</v>
      </c>
      <c r="AX37" s="79" t="s">
        <v>201</v>
      </c>
      <c r="AY37" s="88">
        <v>30013361.2584447</v>
      </c>
      <c r="AZ37" s="89">
        <v>4441669.5865287296</v>
      </c>
      <c r="BA37" s="89">
        <v>3612506.1262693298</v>
      </c>
      <c r="BC37" s="79" t="s">
        <v>201</v>
      </c>
      <c r="BD37" s="85">
        <f t="shared" si="21"/>
        <v>300286304.54030901</v>
      </c>
      <c r="BE37" s="85">
        <f t="shared" si="22"/>
        <v>44439292.708427258</v>
      </c>
      <c r="BF37" s="85">
        <f t="shared" si="23"/>
        <v>36143439.764895491</v>
      </c>
    </row>
    <row r="38" spans="1:58" ht="16" x14ac:dyDescent="0.2">
      <c r="A38" s="24" t="s">
        <v>55</v>
      </c>
      <c r="B38" s="72" t="s">
        <v>201</v>
      </c>
      <c r="C38" s="53">
        <v>232232.564555041</v>
      </c>
      <c r="D38" s="53">
        <v>460217.12830350699</v>
      </c>
      <c r="E38" s="53">
        <v>2925030.4901701901</v>
      </c>
      <c r="F38" s="53">
        <v>33517003.8285424</v>
      </c>
      <c r="G38" s="53">
        <v>0</v>
      </c>
      <c r="H38" s="53">
        <v>8838713.5776434802</v>
      </c>
      <c r="I38" s="53">
        <v>22355548.703382999</v>
      </c>
      <c r="J38" s="53">
        <v>11270699.7024043</v>
      </c>
      <c r="K38" s="53">
        <v>464124.440051143</v>
      </c>
      <c r="O38" s="35">
        <f>O36*6</f>
        <v>7.5999999999999998E-2</v>
      </c>
      <c r="P38" s="35">
        <f>0.456/6</f>
        <v>7.5999999999999998E-2</v>
      </c>
      <c r="S38" s="116" t="s">
        <v>55</v>
      </c>
      <c r="T38" s="117" t="s">
        <v>201</v>
      </c>
      <c r="U38" s="75">
        <f t="shared" si="24"/>
        <v>1.2864864692032386E-2</v>
      </c>
      <c r="V38" s="75">
        <f t="shared" si="33"/>
        <v>0.10325592801344563</v>
      </c>
      <c r="W38" s="75">
        <f t="shared" si="34"/>
        <v>2.7879773443750184</v>
      </c>
      <c r="X38" s="75">
        <f t="shared" si="19"/>
        <v>0.15344833457711413</v>
      </c>
      <c r="Y38" s="75">
        <f t="shared" si="35"/>
        <v>1.868826226068796</v>
      </c>
      <c r="Z38" s="75">
        <f t="shared" si="36"/>
        <v>11.69253443503135</v>
      </c>
      <c r="AA38" s="75">
        <f t="shared" si="25"/>
        <v>0.67238846812166442</v>
      </c>
      <c r="AB38" s="75">
        <f t="shared" si="6"/>
        <v>1.0699241061236471</v>
      </c>
      <c r="AD38" s="96" t="s">
        <v>55</v>
      </c>
      <c r="AE38" s="72" t="s">
        <v>201</v>
      </c>
      <c r="AF38" s="77">
        <f>((U38 * 0.00005 * 1000) * (0.0005/0.0003) )/$AU$12</f>
        <v>1.0370071299994725E-2</v>
      </c>
      <c r="AG38" s="75">
        <f t="shared" si="26"/>
        <v>0.49939336072911017</v>
      </c>
      <c r="AH38" s="75">
        <f t="shared" si="27"/>
        <v>13.483946175591585</v>
      </c>
      <c r="AI38" s="75">
        <f t="shared" si="28"/>
        <v>0.74214702222976792</v>
      </c>
      <c r="AJ38" s="75">
        <f t="shared" si="29"/>
        <v>9.0385068209707775</v>
      </c>
      <c r="AK38" s="75">
        <f t="shared" si="30"/>
        <v>56.550497189767121</v>
      </c>
      <c r="AL38" s="75">
        <f t="shared" si="31"/>
        <v>3.25198120118635</v>
      </c>
      <c r="AM38" s="75">
        <f t="shared" si="32"/>
        <v>5.1746471642054379</v>
      </c>
      <c r="AP38" s="71" t="s">
        <v>79</v>
      </c>
      <c r="AQ38" s="10">
        <v>0.33371182795866633</v>
      </c>
      <c r="AR38" s="10">
        <v>0.22394669366427913</v>
      </c>
      <c r="AS38" s="10">
        <v>0.36506652605767587</v>
      </c>
      <c r="AT38" s="10">
        <v>1.0951995781730275</v>
      </c>
      <c r="AW38" s="24" t="s">
        <v>55</v>
      </c>
      <c r="AX38" s="79" t="s">
        <v>201</v>
      </c>
      <c r="AY38" s="88">
        <v>39778672.033433698</v>
      </c>
      <c r="AZ38" s="89">
        <v>8757185.7376716007</v>
      </c>
      <c r="BA38" s="89">
        <v>6385572.6537453197</v>
      </c>
      <c r="BC38" s="79" t="s">
        <v>201</v>
      </c>
      <c r="BD38" s="85">
        <f t="shared" si="21"/>
        <v>372412172.69884443</v>
      </c>
      <c r="BE38" s="85">
        <f t="shared" si="22"/>
        <v>81985707.430165797</v>
      </c>
      <c r="BF38" s="85">
        <f t="shared" si="23"/>
        <v>59782412.643360071</v>
      </c>
    </row>
    <row r="39" spans="1:58" ht="16" x14ac:dyDescent="0.2">
      <c r="A39" s="24" t="s">
        <v>56</v>
      </c>
      <c r="B39" s="72" t="s">
        <v>171</v>
      </c>
      <c r="C39" s="53">
        <v>695147.69601642003</v>
      </c>
      <c r="D39" s="53">
        <v>465213.99237915099</v>
      </c>
      <c r="E39" s="53">
        <v>9754415.0671290904</v>
      </c>
      <c r="F39" s="53">
        <v>87396076.407865494</v>
      </c>
      <c r="G39" s="53">
        <v>519440.00104250101</v>
      </c>
      <c r="H39" s="53">
        <v>36118498.114382997</v>
      </c>
      <c r="I39" s="53">
        <v>86380075.431388393</v>
      </c>
      <c r="J39" s="53">
        <v>14309997.6597696</v>
      </c>
      <c r="K39" s="53">
        <v>755874.240303069</v>
      </c>
      <c r="S39" s="116" t="s">
        <v>56</v>
      </c>
      <c r="T39" s="117" t="s">
        <v>171</v>
      </c>
      <c r="U39" s="75">
        <f t="shared" si="24"/>
        <v>1.982109745087467E-2</v>
      </c>
      <c r="V39" s="86">
        <f t="shared" si="33"/>
        <v>0.10376689864691661</v>
      </c>
      <c r="W39" s="86">
        <f t="shared" si="34"/>
        <v>7.2353646213204232</v>
      </c>
      <c r="X39" s="86">
        <f t="shared" si="19"/>
        <v>0.27325461498760517</v>
      </c>
      <c r="Y39" s="86">
        <f t="shared" si="35"/>
        <v>7.2864851798623631</v>
      </c>
      <c r="Z39" s="75">
        <f t="shared" si="36"/>
        <v>45.002718524596084</v>
      </c>
      <c r="AA39" s="75">
        <f t="shared" si="25"/>
        <v>0.82925664775434671</v>
      </c>
      <c r="AB39" s="75">
        <f t="shared" si="6"/>
        <v>1.758694766709928</v>
      </c>
      <c r="AD39" s="96" t="s">
        <v>56</v>
      </c>
      <c r="AE39" s="72" t="s">
        <v>171</v>
      </c>
      <c r="AF39" s="77">
        <f>((U39 * 0.00005 * 1000) * (0.0005/0.0003) )/$AU$15</f>
        <v>1.4421921387688684E-2</v>
      </c>
      <c r="AG39" s="75">
        <f t="shared" si="26"/>
        <v>0.45300762744518525</v>
      </c>
      <c r="AH39" s="75">
        <f t="shared" si="27"/>
        <v>31.586906841631723</v>
      </c>
      <c r="AI39" s="75">
        <f t="shared" si="28"/>
        <v>1.1929278646477195</v>
      </c>
      <c r="AJ39" s="75">
        <f t="shared" si="29"/>
        <v>31.81008015837077</v>
      </c>
      <c r="AK39" s="75">
        <f t="shared" si="30"/>
        <v>196.46510605255077</v>
      </c>
      <c r="AL39" s="75">
        <f t="shared" si="31"/>
        <v>3.6202256349646316</v>
      </c>
      <c r="AM39" s="75">
        <f t="shared" si="32"/>
        <v>7.6778062566795393</v>
      </c>
      <c r="AP39" s="71" t="s">
        <v>80</v>
      </c>
      <c r="AQ39" s="10">
        <v>0.35543143458289306</v>
      </c>
      <c r="AR39" s="10">
        <v>0.24566630028850586</v>
      </c>
      <c r="AS39" s="10">
        <v>0.40339975342129519</v>
      </c>
      <c r="AT39" s="10">
        <v>1.2101992602638856</v>
      </c>
      <c r="AW39" s="24" t="s">
        <v>56</v>
      </c>
      <c r="AX39" s="79" t="s">
        <v>171</v>
      </c>
      <c r="AY39" s="88">
        <v>49065509.163968198</v>
      </c>
      <c r="AZ39" s="10">
        <v>10954547.3829356</v>
      </c>
      <c r="BA39" s="10">
        <v>449691.17932503601</v>
      </c>
      <c r="BC39" s="79" t="s">
        <v>171</v>
      </c>
      <c r="BD39" s="85">
        <f t="shared" si="21"/>
        <v>403578019.70655149</v>
      </c>
      <c r="BE39" s="85">
        <f t="shared" si="22"/>
        <v>90104324.094803378</v>
      </c>
      <c r="BF39" s="85">
        <f t="shared" si="23"/>
        <v>3698840.1572479275</v>
      </c>
    </row>
    <row r="40" spans="1:58" ht="16" x14ac:dyDescent="0.2">
      <c r="A40" s="24" t="s">
        <v>57</v>
      </c>
      <c r="B40" s="72" t="s">
        <v>171</v>
      </c>
      <c r="C40" s="53">
        <v>749881.80633489299</v>
      </c>
      <c r="D40" s="53">
        <v>576230.52607335802</v>
      </c>
      <c r="E40" s="53">
        <v>11893697.630399199</v>
      </c>
      <c r="F40" s="53">
        <v>91633243.803942695</v>
      </c>
      <c r="G40" s="53">
        <v>579483.46487029595</v>
      </c>
      <c r="H40" s="53">
        <v>42036206.301402099</v>
      </c>
      <c r="I40" s="53">
        <v>90372049.121517196</v>
      </c>
      <c r="J40" s="53">
        <v>8323033.8674090002</v>
      </c>
      <c r="K40" s="53">
        <v>911826.77962501603</v>
      </c>
      <c r="S40" s="116" t="s">
        <v>57</v>
      </c>
      <c r="T40" s="117" t="s">
        <v>171</v>
      </c>
      <c r="U40" s="75">
        <f t="shared" si="24"/>
        <v>2.064358776356218E-2</v>
      </c>
      <c r="V40" s="86">
        <f t="shared" si="33"/>
        <v>0.11511925638343787</v>
      </c>
      <c r="W40" s="86">
        <f t="shared" si="34"/>
        <v>7.5851168250143175</v>
      </c>
      <c r="X40" s="86">
        <f t="shared" si="19"/>
        <v>0.2871033444842413</v>
      </c>
      <c r="Y40" s="86">
        <f t="shared" si="35"/>
        <v>8.4617189762350584</v>
      </c>
      <c r="Z40" s="75">
        <f t="shared" si="36"/>
        <v>47.07963162797283</v>
      </c>
      <c r="AA40" s="75">
        <f t="shared" si="25"/>
        <v>0.52024972417896687</v>
      </c>
      <c r="AB40" s="75">
        <f t="shared" si="6"/>
        <v>2.1268716547013922</v>
      </c>
      <c r="AD40" s="96" t="s">
        <v>57</v>
      </c>
      <c r="AE40" s="72" t="s">
        <v>171</v>
      </c>
      <c r="AF40" s="77">
        <f>((U40 * 0.00005 * 1000) * (0.0005/0.0003) )/$AU$15</f>
        <v>1.5020369110430257E-2</v>
      </c>
      <c r="AG40" s="75">
        <f t="shared" si="26"/>
        <v>0.50256779269238372</v>
      </c>
      <c r="AH40" s="75">
        <f t="shared" si="27"/>
        <v>33.113794684046816</v>
      </c>
      <c r="AI40" s="75">
        <f t="shared" si="28"/>
        <v>1.2533862591281033</v>
      </c>
      <c r="AJ40" s="75">
        <f t="shared" si="29"/>
        <v>36.940713151457842</v>
      </c>
      <c r="AK40" s="75">
        <f t="shared" si="30"/>
        <v>205.53213503422953</v>
      </c>
      <c r="AL40" s="75">
        <f t="shared" si="31"/>
        <v>2.271216508370888</v>
      </c>
      <c r="AM40" s="75">
        <f t="shared" si="32"/>
        <v>9.2851294077422306</v>
      </c>
      <c r="AP40" s="71" t="s">
        <v>81</v>
      </c>
      <c r="AQ40" s="10">
        <v>0.33526760286802354</v>
      </c>
      <c r="AR40" s="10">
        <v>0.22550246857363634</v>
      </c>
      <c r="AS40" s="10">
        <v>0.36781233422809095</v>
      </c>
      <c r="AT40" s="10">
        <v>1.1034370026842728</v>
      </c>
      <c r="AW40" s="24" t="s">
        <v>57</v>
      </c>
      <c r="AX40" s="79" t="s">
        <v>171</v>
      </c>
      <c r="AY40" s="88">
        <v>35860319.762512602</v>
      </c>
      <c r="AZ40" s="10">
        <v>10667487.743461199</v>
      </c>
      <c r="BA40" s="10">
        <v>605502.66812771605</v>
      </c>
      <c r="BC40" s="79" t="s">
        <v>171</v>
      </c>
      <c r="BD40" s="85">
        <f t="shared" si="21"/>
        <v>339063925.39160585</v>
      </c>
      <c r="BE40" s="85">
        <f t="shared" si="22"/>
        <v>100862465.59758425</v>
      </c>
      <c r="BF40" s="85">
        <f t="shared" si="23"/>
        <v>5725105.4326931434</v>
      </c>
    </row>
    <row r="41" spans="1:58" ht="16" x14ac:dyDescent="0.2">
      <c r="A41" s="24" t="s">
        <v>58</v>
      </c>
      <c r="B41" s="72" t="s">
        <v>171</v>
      </c>
      <c r="C41" s="53">
        <v>854520.19344215805</v>
      </c>
      <c r="D41" s="53">
        <v>854769.24885469</v>
      </c>
      <c r="E41" s="53">
        <v>12521087.819121299</v>
      </c>
      <c r="F41" s="53">
        <v>100454512.773655</v>
      </c>
      <c r="G41" s="53">
        <v>796272.59912239504</v>
      </c>
      <c r="H41" s="53">
        <v>40261833.3830209</v>
      </c>
      <c r="I41" s="53">
        <v>82036255.151703596</v>
      </c>
      <c r="J41" s="53">
        <v>13830433.756376199</v>
      </c>
      <c r="K41" s="53">
        <v>838391.04635523795</v>
      </c>
      <c r="S41" s="116" t="s">
        <v>58</v>
      </c>
      <c r="T41" s="117" t="s">
        <v>171</v>
      </c>
      <c r="U41" s="75">
        <f t="shared" si="24"/>
        <v>2.2215990406634356E-2</v>
      </c>
      <c r="V41" s="86">
        <f t="shared" si="33"/>
        <v>0.14360214194350468</v>
      </c>
      <c r="W41" s="86">
        <f t="shared" si="34"/>
        <v>8.3132585227885958</v>
      </c>
      <c r="X41" s="86">
        <f t="shared" si="19"/>
        <v>0.33710469161967199</v>
      </c>
      <c r="Y41" s="86">
        <f t="shared" si="35"/>
        <v>8.1093354258558268</v>
      </c>
      <c r="Z41" s="75">
        <f t="shared" si="36"/>
        <v>42.742749407089214</v>
      </c>
      <c r="AA41" s="75">
        <f t="shared" si="25"/>
        <v>0.80450477492116124</v>
      </c>
      <c r="AB41" s="75">
        <f t="shared" si="6"/>
        <v>1.9535026293543762</v>
      </c>
      <c r="AD41" s="96" t="s">
        <v>58</v>
      </c>
      <c r="AE41" s="72" t="s">
        <v>171</v>
      </c>
      <c r="AF41" s="77">
        <f>((U41 * 0.00005 * 1000) * (0.0005/0.0003) )/$AU$15</f>
        <v>1.6164456483209917E-2</v>
      </c>
      <c r="AG41" s="75">
        <f t="shared" si="26"/>
        <v>0.62691346148087645</v>
      </c>
      <c r="AH41" s="75">
        <f t="shared" si="27"/>
        <v>36.292590111623532</v>
      </c>
      <c r="AI41" s="75">
        <f t="shared" si="28"/>
        <v>1.4716735157604728</v>
      </c>
      <c r="AJ41" s="75">
        <f t="shared" si="29"/>
        <v>35.40233782956274</v>
      </c>
      <c r="AK41" s="75">
        <f t="shared" si="30"/>
        <v>186.59892269956492</v>
      </c>
      <c r="AL41" s="75">
        <f t="shared" si="31"/>
        <v>3.5121681779798224</v>
      </c>
      <c r="AM41" s="75">
        <f t="shared" si="32"/>
        <v>8.5282648211636882</v>
      </c>
      <c r="AP41" s="71" t="s">
        <v>82</v>
      </c>
      <c r="AQ41" s="10">
        <v>0.35929613541989175</v>
      </c>
      <c r="AR41" s="10">
        <v>0.24953100112550455</v>
      </c>
      <c r="AS41" s="10">
        <v>0.41022061617632288</v>
      </c>
      <c r="AT41" s="10">
        <v>1.2306618485289686</v>
      </c>
      <c r="AW41" s="24" t="s">
        <v>58</v>
      </c>
      <c r="AX41" s="79" t="s">
        <v>171</v>
      </c>
      <c r="AY41" s="88">
        <v>82016514.257777601</v>
      </c>
      <c r="AZ41" s="10">
        <v>8528894.9911861494</v>
      </c>
      <c r="BA41" s="10">
        <v>637557.87497022399</v>
      </c>
      <c r="BC41" s="79" t="s">
        <v>171</v>
      </c>
      <c r="BD41" s="85">
        <f t="shared" si="21"/>
        <v>705492675.58204842</v>
      </c>
      <c r="BE41" s="85">
        <f t="shared" si="22"/>
        <v>73364163.321774557</v>
      </c>
      <c r="BF41" s="85">
        <f t="shared" si="23"/>
        <v>5484168.8301633075</v>
      </c>
    </row>
    <row r="42" spans="1:58" ht="16" x14ac:dyDescent="0.2">
      <c r="A42" s="24" t="s">
        <v>59</v>
      </c>
      <c r="B42" s="72" t="s">
        <v>206</v>
      </c>
      <c r="C42" s="53">
        <v>195288.51572525199</v>
      </c>
      <c r="D42" s="53">
        <v>1354332.4256657001</v>
      </c>
      <c r="E42" s="53">
        <v>273488644.154634</v>
      </c>
      <c r="F42" s="53">
        <v>11075686.309384299</v>
      </c>
      <c r="G42" s="53">
        <v>291319.79592120502</v>
      </c>
      <c r="H42" s="53">
        <v>66351048.388438404</v>
      </c>
      <c r="I42" s="53">
        <v>17852910.9678494</v>
      </c>
      <c r="J42" s="53">
        <v>17744703.7230459</v>
      </c>
      <c r="K42" s="53">
        <v>144863.21718194699</v>
      </c>
      <c r="S42" s="116" t="s">
        <v>59</v>
      </c>
      <c r="T42" s="117" t="s">
        <v>206</v>
      </c>
      <c r="U42" s="75">
        <f t="shared" si="24"/>
        <v>1.2309705905360735E-2</v>
      </c>
      <c r="V42" s="86">
        <f t="shared" si="33"/>
        <v>0.19468660392799497</v>
      </c>
      <c r="W42" s="86">
        <f t="shared" si="34"/>
        <v>0.93558410086366828</v>
      </c>
      <c r="X42" s="86">
        <f t="shared" si="19"/>
        <v>0.22063981210910191</v>
      </c>
      <c r="Y42" s="86">
        <f t="shared" si="35"/>
        <v>13.290551908016464</v>
      </c>
      <c r="Z42" s="75">
        <f t="shared" si="36"/>
        <v>9.3499370036373008</v>
      </c>
      <c r="AA42" s="75">
        <f t="shared" si="25"/>
        <v>1.0065331422861825</v>
      </c>
      <c r="AB42" s="75">
        <f t="shared" si="6"/>
        <v>0.3162037498960909</v>
      </c>
      <c r="AD42" s="96" t="s">
        <v>59</v>
      </c>
      <c r="AE42" s="72" t="s">
        <v>206</v>
      </c>
      <c r="AF42" s="77">
        <f>((U42 * 0.00005 * 1000) * (0.0005/0.0003) )/$AU$18</f>
        <v>1.0765974382522515E-2</v>
      </c>
      <c r="AG42" s="75">
        <f t="shared" si="26"/>
        <v>1.0216284645417828</v>
      </c>
      <c r="AH42" s="75">
        <f t="shared" si="27"/>
        <v>4.9095280781032296</v>
      </c>
      <c r="AI42" s="75">
        <f t="shared" si="28"/>
        <v>1.1578193255925204</v>
      </c>
      <c r="AJ42" s="75">
        <f t="shared" si="29"/>
        <v>69.742888646419459</v>
      </c>
      <c r="AK42" s="75">
        <f t="shared" si="30"/>
        <v>49.064299196062045</v>
      </c>
      <c r="AL42" s="75">
        <f t="shared" si="31"/>
        <v>5.2818370032514776</v>
      </c>
      <c r="AM42" s="75">
        <f t="shared" si="32"/>
        <v>1.6592962482830864</v>
      </c>
      <c r="AP42" s="71" t="s">
        <v>83</v>
      </c>
      <c r="AQ42" s="10">
        <v>0.34689993889008003</v>
      </c>
      <c r="AR42" s="10">
        <v>0.23713480459569283</v>
      </c>
      <c r="AS42" s="10">
        <v>0.38834240133373249</v>
      </c>
      <c r="AT42" s="10">
        <v>1.1650272040011975</v>
      </c>
      <c r="AW42" s="24" t="s">
        <v>59</v>
      </c>
      <c r="AX42" s="79" t="s">
        <v>206</v>
      </c>
      <c r="AY42" s="88">
        <v>0</v>
      </c>
      <c r="AZ42" s="10">
        <v>440310.43727160402</v>
      </c>
      <c r="BA42" s="10">
        <v>0</v>
      </c>
      <c r="BC42" s="79" t="s">
        <v>206</v>
      </c>
      <c r="BD42" s="85">
        <f t="shared" si="21"/>
        <v>0</v>
      </c>
      <c r="BE42" s="85">
        <f t="shared" si="22"/>
        <v>4076948.4520682935</v>
      </c>
      <c r="BF42" s="85">
        <f t="shared" si="23"/>
        <v>0</v>
      </c>
    </row>
    <row r="43" spans="1:58" ht="16" x14ac:dyDescent="0.2">
      <c r="A43" s="24" t="s">
        <v>60</v>
      </c>
      <c r="B43" s="72" t="s">
        <v>206</v>
      </c>
      <c r="C43" s="53">
        <v>161211.481203615</v>
      </c>
      <c r="D43" s="53">
        <v>1027461.74561546</v>
      </c>
      <c r="E43" s="53">
        <v>189796398.75817201</v>
      </c>
      <c r="F43" s="53">
        <v>8675988.8762384001</v>
      </c>
      <c r="G43" s="53">
        <v>467373.33270843601</v>
      </c>
      <c r="H43" s="53">
        <v>64103291.910143502</v>
      </c>
      <c r="I43" s="53">
        <v>20122798.719431199</v>
      </c>
      <c r="J43" s="53">
        <v>16446573.329870701</v>
      </c>
      <c r="K43" s="53">
        <v>113045.432795352</v>
      </c>
      <c r="S43" s="116" t="s">
        <v>60</v>
      </c>
      <c r="T43" s="117" t="s">
        <v>206</v>
      </c>
      <c r="U43" s="75">
        <f t="shared" si="24"/>
        <v>1.1797629786536807E-2</v>
      </c>
      <c r="V43" s="86">
        <f t="shared" si="33"/>
        <v>0.16126137644132615</v>
      </c>
      <c r="W43" s="86">
        <f t="shared" si="34"/>
        <v>0.73750378281477691</v>
      </c>
      <c r="X43" s="86">
        <f t="shared" si="19"/>
        <v>0.2612456941229207</v>
      </c>
      <c r="Y43" s="86">
        <f t="shared" si="35"/>
        <v>12.844156226475009</v>
      </c>
      <c r="Z43" s="75">
        <f t="shared" si="36"/>
        <v>10.530896594155674</v>
      </c>
      <c r="AA43" s="75">
        <f t="shared" si="25"/>
        <v>0.93953235639423971</v>
      </c>
      <c r="AB43" s="75">
        <f t="shared" si="6"/>
        <v>0.24108748125966631</v>
      </c>
      <c r="AD43" s="96" t="s">
        <v>60</v>
      </c>
      <c r="AE43" s="72" t="s">
        <v>206</v>
      </c>
      <c r="AF43" s="77">
        <f>((U43 * 0.00005 * 1000) * (0.0005/0.0003) )/$AU$18</f>
        <v>1.0318116536076394E-2</v>
      </c>
      <c r="AG43" s="75">
        <f t="shared" si="26"/>
        <v>0.84622777879765732</v>
      </c>
      <c r="AH43" s="75">
        <f t="shared" si="27"/>
        <v>3.870090915497622</v>
      </c>
      <c r="AI43" s="75">
        <f t="shared" si="28"/>
        <v>1.3709008836255805</v>
      </c>
      <c r="AJ43" s="75">
        <f t="shared" si="29"/>
        <v>67.400403208233115</v>
      </c>
      <c r="AK43" s="75">
        <f t="shared" si="30"/>
        <v>55.26144840306862</v>
      </c>
      <c r="AL43" s="75">
        <f t="shared" si="31"/>
        <v>4.930246762152021</v>
      </c>
      <c r="AM43" s="75">
        <f t="shared" si="32"/>
        <v>1.2651195733562319</v>
      </c>
      <c r="AP43" s="71" t="s">
        <v>84</v>
      </c>
      <c r="AQ43" s="10">
        <v>0.38220559214341604</v>
      </c>
      <c r="AR43" s="10">
        <v>0.27244045784902882</v>
      </c>
      <c r="AS43" s="10">
        <v>0.45065382606605864</v>
      </c>
      <c r="AT43" s="10">
        <v>1.3519614781981759</v>
      </c>
      <c r="AW43" s="24" t="s">
        <v>60</v>
      </c>
      <c r="AX43" s="79" t="s">
        <v>206</v>
      </c>
      <c r="AY43" s="88">
        <v>2759326.92491335</v>
      </c>
      <c r="AZ43" s="10">
        <v>483772.88100432302</v>
      </c>
      <c r="BA43" s="10">
        <v>0</v>
      </c>
      <c r="BC43" s="79" t="s">
        <v>206</v>
      </c>
      <c r="BD43" s="85">
        <f t="shared" si="21"/>
        <v>29735212.902283173</v>
      </c>
      <c r="BE43" s="85">
        <f t="shared" si="22"/>
        <v>5213260.3364736047</v>
      </c>
      <c r="BF43" s="85">
        <f t="shared" si="23"/>
        <v>0</v>
      </c>
    </row>
    <row r="44" spans="1:58" ht="16" x14ac:dyDescent="0.2">
      <c r="A44" s="24" t="s">
        <v>61</v>
      </c>
      <c r="B44" s="72" t="s">
        <v>206</v>
      </c>
      <c r="C44" s="53">
        <v>72693.956454158993</v>
      </c>
      <c r="D44" s="53">
        <v>466527.402308352</v>
      </c>
      <c r="E44" s="53">
        <v>89241915.258172795</v>
      </c>
      <c r="F44" s="53">
        <v>3915131.28792573</v>
      </c>
      <c r="G44" s="53">
        <v>190761.41490698399</v>
      </c>
      <c r="H44" s="53">
        <v>29710455.505877201</v>
      </c>
      <c r="I44" s="53">
        <v>14979410.776144501</v>
      </c>
      <c r="J44" s="53">
        <v>12103389.048917601</v>
      </c>
      <c r="K44" s="53">
        <v>66185.571239728903</v>
      </c>
      <c r="S44" s="116" t="s">
        <v>61</v>
      </c>
      <c r="T44" s="117" t="s">
        <v>206</v>
      </c>
      <c r="U44" s="75">
        <f t="shared" si="24"/>
        <v>1.0467475588617334E-2</v>
      </c>
      <c r="V44" s="86">
        <f t="shared" si="33"/>
        <v>0.10390120566295136</v>
      </c>
      <c r="W44" s="86">
        <f t="shared" si="34"/>
        <v>0.34452416286236609</v>
      </c>
      <c r="X44" s="86">
        <f t="shared" si="19"/>
        <v>0.19744651631125087</v>
      </c>
      <c r="Y44" s="86">
        <f t="shared" si="35"/>
        <v>6.01387287724293</v>
      </c>
      <c r="Z44" s="75">
        <f t="shared" si="36"/>
        <v>7.8549346153537867</v>
      </c>
      <c r="AA44" s="75">
        <f t="shared" si="25"/>
        <v>0.71536630833983861</v>
      </c>
      <c r="AB44" s="75">
        <f t="shared" si="6"/>
        <v>0.13045947818724563</v>
      </c>
      <c r="AD44" s="96" t="s">
        <v>61</v>
      </c>
      <c r="AE44" s="72" t="s">
        <v>206</v>
      </c>
      <c r="AF44" s="77">
        <f>((U44 * 0.00005 * 1000) * (0.0005/0.0003) )/$AU$18</f>
        <v>9.1547738754390266E-3</v>
      </c>
      <c r="AG44" s="75">
        <f t="shared" si="26"/>
        <v>0.5452271859687895</v>
      </c>
      <c r="AH44" s="75">
        <f t="shared" si="27"/>
        <v>1.8079091442408679</v>
      </c>
      <c r="AI44" s="75">
        <f t="shared" si="28"/>
        <v>1.0361112537706627</v>
      </c>
      <c r="AJ44" s="75">
        <f t="shared" si="29"/>
        <v>31.558122590702293</v>
      </c>
      <c r="AK44" s="75">
        <f t="shared" si="30"/>
        <v>41.219193453741568</v>
      </c>
      <c r="AL44" s="75">
        <f t="shared" si="31"/>
        <v>3.7539233230677453</v>
      </c>
      <c r="AM44" s="75">
        <f t="shared" si="32"/>
        <v>0.68459315482565042</v>
      </c>
      <c r="AP44" s="71" t="s">
        <v>85</v>
      </c>
      <c r="AQ44" s="10">
        <v>0.36354528538634495</v>
      </c>
      <c r="AR44" s="10">
        <v>0.25378015109195773</v>
      </c>
      <c r="AS44" s="10">
        <v>0.41771999839738394</v>
      </c>
      <c r="AT44" s="10">
        <v>1.2531599951921519</v>
      </c>
      <c r="AW44" s="24" t="s">
        <v>61</v>
      </c>
      <c r="AX44" s="79" t="s">
        <v>206</v>
      </c>
      <c r="AY44" s="88">
        <v>0</v>
      </c>
      <c r="AZ44" s="10">
        <v>1349748.46361239</v>
      </c>
      <c r="BA44" s="10">
        <v>0</v>
      </c>
      <c r="BC44" s="79" t="s">
        <v>206</v>
      </c>
      <c r="BD44" s="85">
        <f t="shared" si="21"/>
        <v>0</v>
      </c>
      <c r="BE44" s="85">
        <f t="shared" si="22"/>
        <v>15869898.996220117</v>
      </c>
      <c r="BF44" s="85">
        <f t="shared" si="23"/>
        <v>0</v>
      </c>
    </row>
    <row r="45" spans="1:58" ht="16" x14ac:dyDescent="0.2">
      <c r="A45" s="24" t="s">
        <v>62</v>
      </c>
      <c r="B45" s="72" t="s">
        <v>198</v>
      </c>
      <c r="C45" s="53">
        <v>724376.69443179795</v>
      </c>
      <c r="D45" s="53">
        <v>916467.61783526302</v>
      </c>
      <c r="E45" s="53">
        <v>5987862.0886752</v>
      </c>
      <c r="F45" s="53">
        <v>10068613.3428353</v>
      </c>
      <c r="G45" s="53">
        <v>570233.97942622204</v>
      </c>
      <c r="H45" s="53">
        <v>26301587.839203302</v>
      </c>
      <c r="I45" s="53">
        <v>59923577.5703438</v>
      </c>
      <c r="J45" s="53">
        <v>20001236.4634073</v>
      </c>
      <c r="K45" s="53">
        <v>148509.906217916</v>
      </c>
      <c r="S45" s="116" t="s">
        <v>62</v>
      </c>
      <c r="T45" s="117" t="s">
        <v>198</v>
      </c>
      <c r="U45" s="75">
        <f t="shared" si="24"/>
        <v>2.0260322056999184E-2</v>
      </c>
      <c r="V45" s="75">
        <f t="shared" si="33"/>
        <v>0.14991130989461954</v>
      </c>
      <c r="W45" s="75">
        <f t="shared" si="34"/>
        <v>0.85245639869708512</v>
      </c>
      <c r="X45" s="86">
        <f t="shared" si="19"/>
        <v>0.28496999617733104</v>
      </c>
      <c r="Y45" s="86">
        <f t="shared" si="35"/>
        <v>5.3368850362363034</v>
      </c>
      <c r="Z45" s="86">
        <f t="shared" si="36"/>
        <v>31.238137056302488</v>
      </c>
      <c r="AA45" s="75">
        <f t="shared" si="25"/>
        <v>1.1230002304847009</v>
      </c>
      <c r="AB45" s="75">
        <f t="shared" si="6"/>
        <v>0.32481295001923832</v>
      </c>
      <c r="AD45" s="96" t="s">
        <v>62</v>
      </c>
      <c r="AE45" s="72" t="s">
        <v>198</v>
      </c>
      <c r="AF45" s="77">
        <f>((U45 * 0.00005 * 1000) * (0.0005/0.0003) )/$AU$21</f>
        <v>1.34673161477673E-2</v>
      </c>
      <c r="AG45" s="75">
        <f t="shared" si="26"/>
        <v>0.59788872026719886</v>
      </c>
      <c r="AH45" s="75">
        <f t="shared" si="27"/>
        <v>3.3998373148687824</v>
      </c>
      <c r="AI45" s="75">
        <f t="shared" si="28"/>
        <v>1.1365409751191036</v>
      </c>
      <c r="AJ45" s="75">
        <f t="shared" si="29"/>
        <v>21.285007560613742</v>
      </c>
      <c r="AK45" s="75">
        <f t="shared" si="30"/>
        <v>124.58652920352068</v>
      </c>
      <c r="AL45" s="75">
        <f t="shared" si="31"/>
        <v>4.4788426646144952</v>
      </c>
      <c r="AM45" s="75">
        <f t="shared" si="32"/>
        <v>1.2954459483392595</v>
      </c>
      <c r="AP45" s="71" t="s">
        <v>86</v>
      </c>
      <c r="AQ45" s="10">
        <v>0.35726113241103707</v>
      </c>
      <c r="AR45" s="10">
        <v>0.24749599811664988</v>
      </c>
      <c r="AS45" s="10">
        <v>0.40662901185430617</v>
      </c>
      <c r="AT45" s="10">
        <v>1.2198870355629186</v>
      </c>
      <c r="AW45" s="24" t="s">
        <v>62</v>
      </c>
      <c r="AX45" s="79" t="s">
        <v>198</v>
      </c>
      <c r="AY45" s="88">
        <v>112193193.417037</v>
      </c>
      <c r="AZ45" s="10">
        <v>432366.081559374</v>
      </c>
      <c r="BA45" s="10">
        <v>1555249.0439925599</v>
      </c>
      <c r="BC45" s="79" t="s">
        <v>198</v>
      </c>
      <c r="BD45" s="85">
        <f t="shared" si="21"/>
        <v>844957664.88857818</v>
      </c>
      <c r="BE45" s="85">
        <f t="shared" si="22"/>
        <v>3256267.3681410355</v>
      </c>
      <c r="BF45" s="85">
        <f t="shared" si="23"/>
        <v>11713006.471322997</v>
      </c>
    </row>
    <row r="46" spans="1:58" ht="16" x14ac:dyDescent="0.2">
      <c r="A46" s="24" t="s">
        <v>63</v>
      </c>
      <c r="B46" s="72" t="s">
        <v>198</v>
      </c>
      <c r="C46" s="53">
        <v>761535.107389463</v>
      </c>
      <c r="D46" s="53">
        <v>948851.62814958801</v>
      </c>
      <c r="E46" s="53">
        <v>6582675.4427088099</v>
      </c>
      <c r="F46" s="53">
        <v>11020691.1487645</v>
      </c>
      <c r="G46" s="53">
        <v>694147.33129692497</v>
      </c>
      <c r="H46" s="53">
        <v>29815749.317777202</v>
      </c>
      <c r="I46" s="53">
        <v>59179842.229428098</v>
      </c>
      <c r="J46" s="53">
        <v>20186519.8993042</v>
      </c>
      <c r="K46" s="53">
        <v>151539.41372971001</v>
      </c>
      <c r="S46" s="116" t="s">
        <v>63</v>
      </c>
      <c r="T46" s="117" t="s">
        <v>198</v>
      </c>
      <c r="U46" s="75">
        <f t="shared" si="24"/>
        <v>2.0818702096698241E-2</v>
      </c>
      <c r="V46" s="75">
        <f t="shared" si="33"/>
        <v>0.15322284249069262</v>
      </c>
      <c r="W46" s="75">
        <f t="shared" si="34"/>
        <v>0.93104458735823492</v>
      </c>
      <c r="X46" s="86">
        <f t="shared" si="19"/>
        <v>0.31355000108844799</v>
      </c>
      <c r="Y46" s="86">
        <f t="shared" si="35"/>
        <v>6.034783818165165</v>
      </c>
      <c r="Z46" s="86">
        <f t="shared" si="36"/>
        <v>30.85119220272998</v>
      </c>
      <c r="AA46" s="75">
        <f t="shared" si="25"/>
        <v>1.1325633189718958</v>
      </c>
      <c r="AB46" s="75">
        <f t="shared" si="6"/>
        <v>0.33196509164314913</v>
      </c>
      <c r="AD46" s="96" t="s">
        <v>63</v>
      </c>
      <c r="AE46" s="72" t="s">
        <v>198</v>
      </c>
      <c r="AF46" s="77">
        <f>((U46 * 0.00005 * 1000) * (0.0005/0.0003) )/$AU$21</f>
        <v>1.3838479079139963E-2</v>
      </c>
      <c r="AG46" s="75">
        <f t="shared" si="26"/>
        <v>0.61109604923644778</v>
      </c>
      <c r="AH46" s="75">
        <f t="shared" si="27"/>
        <v>3.713269247254416</v>
      </c>
      <c r="AI46" s="75">
        <f t="shared" si="28"/>
        <v>1.2505261212268239</v>
      </c>
      <c r="AJ46" s="75">
        <f t="shared" si="29"/>
        <v>24.068425368761783</v>
      </c>
      <c r="AK46" s="75">
        <f t="shared" si="30"/>
        <v>123.04328364400239</v>
      </c>
      <c r="AL46" s="75">
        <f t="shared" si="31"/>
        <v>4.5169829673136723</v>
      </c>
      <c r="AM46" s="75">
        <f t="shared" si="32"/>
        <v>1.3239707127862899</v>
      </c>
      <c r="AP46" s="71" t="s">
        <v>87</v>
      </c>
      <c r="AQ46" s="10">
        <v>0.33319879218779319</v>
      </c>
      <c r="AR46" s="10">
        <v>0.223433657893406</v>
      </c>
      <c r="AS46" s="10">
        <v>0.36416106228980938</v>
      </c>
      <c r="AT46" s="10">
        <v>1.092483186869428</v>
      </c>
      <c r="AW46" s="24" t="s">
        <v>63</v>
      </c>
      <c r="AX46" s="79" t="s">
        <v>198</v>
      </c>
      <c r="AY46" s="88">
        <v>71094932.568341002</v>
      </c>
      <c r="AZ46" s="10">
        <v>580452.77610993595</v>
      </c>
      <c r="BA46" s="10">
        <v>1264136.45787751</v>
      </c>
      <c r="BC46" s="79" t="s">
        <v>198</v>
      </c>
      <c r="BD46" s="85">
        <f t="shared" si="21"/>
        <v>586329477.99228156</v>
      </c>
      <c r="BE46" s="85">
        <f t="shared" si="22"/>
        <v>4787072.1712627849</v>
      </c>
      <c r="BF46" s="85">
        <f t="shared" si="23"/>
        <v>10425503.515962167</v>
      </c>
    </row>
    <row r="47" spans="1:58" ht="16" x14ac:dyDescent="0.2">
      <c r="A47" s="24" t="s">
        <v>64</v>
      </c>
      <c r="B47" s="72" t="s">
        <v>198</v>
      </c>
      <c r="C47" s="53">
        <v>734902.49134999304</v>
      </c>
      <c r="D47" s="53">
        <v>1035144.19498741</v>
      </c>
      <c r="E47" s="53">
        <v>6637984.1111090798</v>
      </c>
      <c r="F47" s="53">
        <v>11502438.3935</v>
      </c>
      <c r="G47" s="53">
        <v>571658.770213802</v>
      </c>
      <c r="H47" s="53">
        <v>25961293.373795301</v>
      </c>
      <c r="I47" s="53">
        <v>78526609.821609601</v>
      </c>
      <c r="J47" s="53">
        <v>20154077.110865701</v>
      </c>
      <c r="K47" s="53">
        <v>153481.41112528701</v>
      </c>
      <c r="S47" s="116" t="s">
        <v>64</v>
      </c>
      <c r="T47" s="117" t="s">
        <v>198</v>
      </c>
      <c r="U47" s="75">
        <f t="shared" si="24"/>
        <v>2.0418493368237426E-2</v>
      </c>
      <c r="V47" s="75">
        <f t="shared" si="33"/>
        <v>0.16204697035838464</v>
      </c>
      <c r="W47" s="75">
        <f t="shared" si="34"/>
        <v>0.97080987032196553</v>
      </c>
      <c r="X47" s="86">
        <f t="shared" si="19"/>
        <v>0.28529861716200777</v>
      </c>
      <c r="Y47" s="86">
        <f t="shared" si="35"/>
        <v>5.2693038808587316</v>
      </c>
      <c r="Z47" s="86">
        <f t="shared" si="36"/>
        <v>40.916778361162294</v>
      </c>
      <c r="AA47" s="75">
        <f t="shared" si="25"/>
        <v>1.1308888397875756</v>
      </c>
      <c r="AB47" s="75">
        <f t="shared" si="6"/>
        <v>0.33654981056276245</v>
      </c>
      <c r="AD47" s="96" t="s">
        <v>64</v>
      </c>
      <c r="AE47" s="72" t="s">
        <v>198</v>
      </c>
      <c r="AF47" s="77">
        <f>((U47 * 0.00005 * 1000) * (0.0005/0.0003) )/$AU$21</f>
        <v>1.3572454804890298E-2</v>
      </c>
      <c r="AG47" s="75">
        <f t="shared" si="26"/>
        <v>0.64628916790105806</v>
      </c>
      <c r="AH47" s="75">
        <f t="shared" si="27"/>
        <v>3.8718644470359447</v>
      </c>
      <c r="AI47" s="75">
        <f t="shared" si="28"/>
        <v>1.1378516085871149</v>
      </c>
      <c r="AJ47" s="75">
        <f t="shared" si="29"/>
        <v>21.015474791329833</v>
      </c>
      <c r="AK47" s="75">
        <f t="shared" si="30"/>
        <v>163.18768923444622</v>
      </c>
      <c r="AL47" s="75">
        <f t="shared" si="31"/>
        <v>4.5103046705438619</v>
      </c>
      <c r="AM47" s="75">
        <f t="shared" si="32"/>
        <v>1.3422558690534141</v>
      </c>
      <c r="AP47" s="71" t="s">
        <v>88</v>
      </c>
      <c r="AQ47" s="10">
        <v>0.34536425882139671</v>
      </c>
      <c r="AR47" s="10">
        <v>0.23559912452700951</v>
      </c>
      <c r="AS47" s="10">
        <v>0.38563205881928964</v>
      </c>
      <c r="AT47" s="10">
        <v>1.1568961764578689</v>
      </c>
      <c r="AW47" s="24" t="s">
        <v>64</v>
      </c>
      <c r="AX47" s="79" t="s">
        <v>198</v>
      </c>
      <c r="AY47" s="88">
        <v>63633126.400472</v>
      </c>
      <c r="AZ47" s="10">
        <v>1281544.6343018401</v>
      </c>
      <c r="BA47" s="10">
        <v>1398268.10274063</v>
      </c>
      <c r="BC47" s="79" t="s">
        <v>198</v>
      </c>
      <c r="BD47" s="85">
        <f t="shared" si="21"/>
        <v>521293286.07909477</v>
      </c>
      <c r="BE47" s="85">
        <f t="shared" si="22"/>
        <v>10498629.431906754</v>
      </c>
      <c r="BF47" s="85">
        <f t="shared" si="23"/>
        <v>11454847.739366107</v>
      </c>
    </row>
    <row r="48" spans="1:58" ht="16" x14ac:dyDescent="0.2">
      <c r="A48" s="24" t="s">
        <v>65</v>
      </c>
      <c r="B48" s="72" t="s">
        <v>202</v>
      </c>
      <c r="C48" s="53">
        <v>704854.05529996799</v>
      </c>
      <c r="D48" s="53">
        <v>842527.00391177903</v>
      </c>
      <c r="E48" s="53">
        <v>6514587.3233632399</v>
      </c>
      <c r="F48" s="53">
        <v>99487111.053176403</v>
      </c>
      <c r="G48" s="53">
        <v>567452.43998388096</v>
      </c>
      <c r="H48" s="53">
        <v>26051318.9931468</v>
      </c>
      <c r="I48" s="53">
        <v>57813201.8440708</v>
      </c>
      <c r="J48" s="53">
        <v>16570383.532107901</v>
      </c>
      <c r="K48" s="53">
        <v>932772.08228521096</v>
      </c>
      <c r="S48" s="116" t="s">
        <v>65</v>
      </c>
      <c r="T48" s="117" t="s">
        <v>202</v>
      </c>
      <c r="U48" s="75">
        <f t="shared" si="24"/>
        <v>1.9966955060247159E-2</v>
      </c>
      <c r="V48" s="75">
        <f t="shared" si="33"/>
        <v>0.14235027125843308</v>
      </c>
      <c r="W48" s="86">
        <f t="shared" si="34"/>
        <v>8.2334054388844997</v>
      </c>
      <c r="X48" s="86">
        <f t="shared" si="19"/>
        <v>0.28432844779112065</v>
      </c>
      <c r="Y48" s="86">
        <f t="shared" si="35"/>
        <v>5.2871826182106929</v>
      </c>
      <c r="Z48" s="86">
        <f t="shared" si="36"/>
        <v>30.140167144881755</v>
      </c>
      <c r="AA48" s="75">
        <f t="shared" si="25"/>
        <v>0.94592260878717727</v>
      </c>
      <c r="AB48" s="75">
        <f t="shared" si="6"/>
        <v>2.1763198803282298</v>
      </c>
      <c r="AD48" s="96" t="s">
        <v>65</v>
      </c>
      <c r="AE48" s="72" t="s">
        <v>202</v>
      </c>
      <c r="AF48" s="77">
        <f>((U48 * 0.00005 * 1000) * (0.0005/0.0003) )/$AU$24</f>
        <v>1.3486397620133062E-2</v>
      </c>
      <c r="AG48" s="75">
        <f t="shared" si="26"/>
        <v>0.57689087406638273</v>
      </c>
      <c r="AH48" s="75">
        <f t="shared" si="27"/>
        <v>33.366824089557916</v>
      </c>
      <c r="AI48" s="75">
        <f t="shared" si="28"/>
        <v>1.15227379138865</v>
      </c>
      <c r="AJ48" s="75">
        <f t="shared" si="29"/>
        <v>21.426916682376589</v>
      </c>
      <c r="AK48" s="75">
        <f t="shared" si="30"/>
        <v>122.14649972216077</v>
      </c>
      <c r="AL48" s="75">
        <f t="shared" si="31"/>
        <v>3.8334603493076229</v>
      </c>
      <c r="AM48" s="75">
        <f t="shared" si="32"/>
        <v>8.8197870429854905</v>
      </c>
      <c r="AP48" s="71" t="s">
        <v>89</v>
      </c>
      <c r="AQ48" s="10">
        <v>0.34101095210987864</v>
      </c>
      <c r="AR48" s="10">
        <v>0.23124581781549144</v>
      </c>
      <c r="AS48" s="10">
        <v>0.37794884895074382</v>
      </c>
      <c r="AT48" s="10">
        <v>1.1338465468522314</v>
      </c>
      <c r="AW48" s="24" t="s">
        <v>65</v>
      </c>
      <c r="AX48" s="79" t="s">
        <v>202</v>
      </c>
      <c r="AY48" s="88">
        <v>56663816.082102403</v>
      </c>
      <c r="AZ48" s="89">
        <v>32649228.5001227</v>
      </c>
      <c r="BA48" s="89">
        <v>8730164.2657754198</v>
      </c>
      <c r="BC48" s="79" t="s">
        <v>202</v>
      </c>
      <c r="BD48" s="85">
        <f t="shared" si="21"/>
        <v>437988353.77429301</v>
      </c>
      <c r="BE48" s="85">
        <f t="shared" si="22"/>
        <v>252365315.84900093</v>
      </c>
      <c r="BF48" s="85">
        <f t="shared" si="23"/>
        <v>67480634.721209273</v>
      </c>
    </row>
    <row r="49" spans="1:58" ht="16" x14ac:dyDescent="0.2">
      <c r="A49" s="24" t="s">
        <v>66</v>
      </c>
      <c r="B49" s="72" t="s">
        <v>202</v>
      </c>
      <c r="C49" s="53">
        <v>575218.18079912802</v>
      </c>
      <c r="D49" s="53">
        <v>677898.85294814</v>
      </c>
      <c r="E49" s="53">
        <v>6658957.4768642904</v>
      </c>
      <c r="F49" s="53">
        <v>86385476.9304865</v>
      </c>
      <c r="G49" s="53">
        <v>366330.32250672998</v>
      </c>
      <c r="H49" s="53">
        <v>25519517.251104299</v>
      </c>
      <c r="I49" s="53">
        <v>57512488.135609403</v>
      </c>
      <c r="J49" s="53">
        <v>14794524.0998208</v>
      </c>
      <c r="K49" s="53">
        <v>797993.70157194196</v>
      </c>
      <c r="S49" s="116" t="s">
        <v>66</v>
      </c>
      <c r="T49" s="117" t="s">
        <v>202</v>
      </c>
      <c r="U49" s="75">
        <f t="shared" si="24"/>
        <v>1.8018914791878563E-2</v>
      </c>
      <c r="V49" s="75">
        <f t="shared" si="33"/>
        <v>0.12551568274219319</v>
      </c>
      <c r="W49" s="86">
        <f t="shared" si="34"/>
        <v>7.1519458272948579</v>
      </c>
      <c r="X49" s="86">
        <f t="shared" si="19"/>
        <v>0.23794062098752458</v>
      </c>
      <c r="Y49" s="86">
        <f t="shared" si="35"/>
        <v>5.1815688636174571</v>
      </c>
      <c r="Z49" s="86">
        <f t="shared" si="36"/>
        <v>29.983714149459246</v>
      </c>
      <c r="AA49" s="75">
        <f t="shared" si="25"/>
        <v>0.85426465345202574</v>
      </c>
      <c r="AB49" s="75">
        <f t="shared" si="6"/>
        <v>1.8581315071520781</v>
      </c>
      <c r="AD49" s="97" t="s">
        <v>66</v>
      </c>
      <c r="AE49" s="82" t="s">
        <v>202</v>
      </c>
      <c r="AF49" s="77">
        <f>((U49 * 0.00005 * 1000) * (0.0005/0.0003) )/$AU$24</f>
        <v>1.2170621350793156E-2</v>
      </c>
      <c r="AG49" s="75">
        <f t="shared" si="26"/>
        <v>0.5086667646366918</v>
      </c>
      <c r="AH49" s="75">
        <f t="shared" si="27"/>
        <v>28.98408442154004</v>
      </c>
      <c r="AI49" s="75">
        <f t="shared" si="28"/>
        <v>0.96428177905041457</v>
      </c>
      <c r="AJ49" s="75">
        <f t="shared" si="29"/>
        <v>20.998904774411116</v>
      </c>
      <c r="AK49" s="75">
        <f t="shared" si="30"/>
        <v>121.51245593368257</v>
      </c>
      <c r="AL49" s="75">
        <f t="shared" si="31"/>
        <v>3.4620059256456055</v>
      </c>
      <c r="AM49" s="75">
        <f t="shared" si="32"/>
        <v>7.5302920030631411</v>
      </c>
      <c r="AP49" s="71" t="s">
        <v>90</v>
      </c>
      <c r="AQ49" s="10">
        <v>0.36162323777011407</v>
      </c>
      <c r="AR49" s="10">
        <v>0.2518581034757269</v>
      </c>
      <c r="AS49" s="10">
        <v>0.41432775057487981</v>
      </c>
      <c r="AT49" s="10">
        <v>1.2429832517246393</v>
      </c>
      <c r="AW49" s="24" t="s">
        <v>66</v>
      </c>
      <c r="AX49" s="79" t="s">
        <v>202</v>
      </c>
      <c r="AY49" s="88">
        <v>35922125.625345498</v>
      </c>
      <c r="AZ49" s="89">
        <v>22996713.336340498</v>
      </c>
      <c r="BA49" s="89">
        <v>4084057.7865399201</v>
      </c>
      <c r="BC49" s="79" t="s">
        <v>202</v>
      </c>
      <c r="BD49" s="85">
        <f t="shared" si="21"/>
        <v>394748616.90814447</v>
      </c>
      <c r="BE49" s="85">
        <f t="shared" si="22"/>
        <v>252711125.10525832</v>
      </c>
      <c r="BF49" s="85">
        <f t="shared" si="23"/>
        <v>44879754.038610443</v>
      </c>
    </row>
    <row r="50" spans="1:58" ht="16" x14ac:dyDescent="0.2">
      <c r="A50" s="24" t="s">
        <v>67</v>
      </c>
      <c r="B50" s="72" t="s">
        <v>202</v>
      </c>
      <c r="C50" s="53">
        <v>642789.43376128504</v>
      </c>
      <c r="D50" s="53">
        <v>794699.81300575298</v>
      </c>
      <c r="E50" s="53">
        <v>4511513.4443122502</v>
      </c>
      <c r="F50" s="53">
        <v>82546127.941185907</v>
      </c>
      <c r="G50" s="53">
        <v>469999.48219175398</v>
      </c>
      <c r="H50" s="53">
        <v>21848649.701492298</v>
      </c>
      <c r="I50" s="53">
        <v>51798685.269922704</v>
      </c>
      <c r="J50" s="53">
        <v>15547619.422243601</v>
      </c>
      <c r="K50" s="53">
        <v>834846.13164884597</v>
      </c>
      <c r="S50" s="116" t="s">
        <v>67</v>
      </c>
      <c r="T50" s="117" t="s">
        <v>202</v>
      </c>
      <c r="U50" s="75">
        <f t="shared" si="24"/>
        <v>1.9034309043363711E-2</v>
      </c>
      <c r="V50" s="75">
        <f t="shared" si="33"/>
        <v>0.13745954586257758</v>
      </c>
      <c r="W50" s="86">
        <f t="shared" si="34"/>
        <v>6.835031095297011</v>
      </c>
      <c r="X50" s="86">
        <f t="shared" si="19"/>
        <v>0.26185140257965639</v>
      </c>
      <c r="Y50" s="86">
        <f t="shared" si="35"/>
        <v>4.4525488663531139</v>
      </c>
      <c r="Z50" s="86">
        <f t="shared" si="36"/>
        <v>27.010981119880228</v>
      </c>
      <c r="AA50" s="75">
        <f t="shared" si="25"/>
        <v>0.89313438388831468</v>
      </c>
      <c r="AB50" s="75">
        <f t="shared" si="6"/>
        <v>1.9451337007657867</v>
      </c>
      <c r="AD50" s="96" t="s">
        <v>67</v>
      </c>
      <c r="AE50" s="72" t="s">
        <v>202</v>
      </c>
      <c r="AF50" s="77">
        <f>((U50 * 0.00005 * 1000) * (0.0005/0.0003) )/$AU$24</f>
        <v>1.2856455048290173E-2</v>
      </c>
      <c r="AG50" s="75">
        <f t="shared" si="26"/>
        <v>0.55707064595236999</v>
      </c>
      <c r="AH50" s="75">
        <f t="shared" si="27"/>
        <v>27.699750959225543</v>
      </c>
      <c r="AI50" s="75">
        <f t="shared" si="28"/>
        <v>1.0611829761493143</v>
      </c>
      <c r="AJ50" s="75">
        <f t="shared" si="29"/>
        <v>18.044467247065811</v>
      </c>
      <c r="AK50" s="75">
        <f t="shared" si="30"/>
        <v>109.46511285074307</v>
      </c>
      <c r="AL50" s="75">
        <f t="shared" si="31"/>
        <v>3.6195299863156829</v>
      </c>
      <c r="AM50" s="75">
        <f t="shared" si="32"/>
        <v>7.8828784159712342</v>
      </c>
      <c r="AP50" s="71" t="s">
        <v>91</v>
      </c>
      <c r="AQ50" s="10">
        <v>0.38116873081629687</v>
      </c>
      <c r="AR50" s="10">
        <v>0.27140359652190971</v>
      </c>
      <c r="AS50" s="10">
        <v>0.44882385549225151</v>
      </c>
      <c r="AT50" s="10">
        <v>1.3464715664767546</v>
      </c>
      <c r="AW50" s="24" t="s">
        <v>67</v>
      </c>
      <c r="AX50" s="79" t="s">
        <v>202</v>
      </c>
      <c r="AY50" s="88">
        <v>48586524.220381998</v>
      </c>
      <c r="AZ50" s="89">
        <v>28184082.5466947</v>
      </c>
      <c r="BA50" s="89">
        <v>5431992.1338069504</v>
      </c>
      <c r="BC50" s="79" t="s">
        <v>202</v>
      </c>
      <c r="BD50" s="85">
        <f t="shared" si="21"/>
        <v>413920268.19556034</v>
      </c>
      <c r="BE50" s="85">
        <f t="shared" si="22"/>
        <v>240106967.8015745</v>
      </c>
      <c r="BF50" s="85">
        <f t="shared" si="23"/>
        <v>46276445.515284263</v>
      </c>
    </row>
    <row r="51" spans="1:58" ht="14.25" customHeight="1" x14ac:dyDescent="0.2">
      <c r="A51" s="24" t="s">
        <v>68</v>
      </c>
      <c r="B51" s="72" t="s">
        <v>159</v>
      </c>
      <c r="C51" s="53">
        <v>6236.0553899894803</v>
      </c>
      <c r="D51" s="73">
        <v>0</v>
      </c>
      <c r="E51" s="73">
        <v>0</v>
      </c>
      <c r="F51" s="73">
        <v>0</v>
      </c>
      <c r="G51" s="53">
        <v>0</v>
      </c>
      <c r="H51" s="53">
        <v>1748.65192603848</v>
      </c>
      <c r="I51" s="53">
        <v>656.74543525885804</v>
      </c>
      <c r="J51" s="53">
        <v>9778.3793814564706</v>
      </c>
      <c r="K51" s="53">
        <v>0</v>
      </c>
      <c r="S51" s="116" t="s">
        <v>68</v>
      </c>
      <c r="T51" s="117" t="s">
        <v>159</v>
      </c>
      <c r="U51" s="75">
        <f t="shared" ref="U51:U74" si="37">(C51-$N$4)/$N$3</f>
        <v>5.6812870158764149E-2</v>
      </c>
      <c r="V51" s="75">
        <f t="shared" si="33"/>
        <v>5.6194924547359804E-2</v>
      </c>
      <c r="W51" s="75">
        <f t="shared" si="34"/>
        <v>2.1354066497828408E-2</v>
      </c>
      <c r="X51" s="75">
        <f t="shared" ref="X51:X67" si="38">(G51-$O$8)/$O$7</f>
        <v>0.92069000746268481</v>
      </c>
      <c r="Y51" s="75">
        <f t="shared" si="35"/>
        <v>0.11383941194292056</v>
      </c>
      <c r="Z51" s="75">
        <f t="shared" si="36"/>
        <v>6.1904667394989149E-2</v>
      </c>
      <c r="AA51" s="75">
        <f t="shared" ref="AA51:AA67" si="39">(J51-$Q$4)/$Q$3</f>
        <v>9.1175222921851165E-2</v>
      </c>
      <c r="AB51" s="75">
        <v>0</v>
      </c>
      <c r="AD51" s="78"/>
      <c r="AE51" s="83"/>
      <c r="AF51" s="77"/>
      <c r="AG51" s="77"/>
      <c r="AH51" s="77"/>
      <c r="AI51" s="77"/>
      <c r="AJ51" s="77"/>
      <c r="AK51" s="77"/>
      <c r="AL51" s="77"/>
      <c r="AM51" s="77"/>
      <c r="AW51" s="24" t="s">
        <v>68</v>
      </c>
      <c r="AX51" s="79" t="s">
        <v>159</v>
      </c>
      <c r="AY51" s="87">
        <v>204201639.08664</v>
      </c>
      <c r="AZ51" s="87">
        <v>499664326.946854</v>
      </c>
      <c r="BA51" s="89">
        <v>3974734.2194124698</v>
      </c>
      <c r="BC51" s="57" t="s">
        <v>159</v>
      </c>
      <c r="BD51" s="85">
        <f t="shared" si="21"/>
        <v>192528686.54885975</v>
      </c>
      <c r="BE51" s="85">
        <f t="shared" si="22"/>
        <v>471101588.66835338</v>
      </c>
      <c r="BF51" s="85">
        <f t="shared" si="23"/>
        <v>3747523.0956378598</v>
      </c>
    </row>
    <row r="52" spans="1:58" ht="16" x14ac:dyDescent="0.2">
      <c r="A52" s="24" t="s">
        <v>69</v>
      </c>
      <c r="B52" s="72" t="s">
        <v>159</v>
      </c>
      <c r="C52" s="53">
        <v>8026.4619418169405</v>
      </c>
      <c r="D52" s="73">
        <v>0</v>
      </c>
      <c r="E52" s="73">
        <v>0</v>
      </c>
      <c r="F52" s="73">
        <v>0</v>
      </c>
      <c r="G52" s="53">
        <v>0</v>
      </c>
      <c r="H52" s="53">
        <v>1907.48668497012</v>
      </c>
      <c r="I52" s="53">
        <v>451.79640830267698</v>
      </c>
      <c r="J52" s="53">
        <v>4059.0446362061298</v>
      </c>
      <c r="K52" s="53">
        <v>6228.7324912335298</v>
      </c>
      <c r="S52" s="116" t="s">
        <v>69</v>
      </c>
      <c r="T52" s="117" t="s">
        <v>159</v>
      </c>
      <c r="U52" s="75">
        <f t="shared" si="37"/>
        <v>5.697429695855119E-2</v>
      </c>
      <c r="V52" s="75">
        <f t="shared" si="33"/>
        <v>5.6194924547359804E-2</v>
      </c>
      <c r="W52" s="75">
        <f t="shared" si="34"/>
        <v>2.1354066497828408E-2</v>
      </c>
      <c r="X52" s="75">
        <f t="shared" si="38"/>
        <v>0.92069000746268481</v>
      </c>
      <c r="Y52" s="75">
        <f t="shared" si="35"/>
        <v>0.11387095590738043</v>
      </c>
      <c r="Z52" s="75">
        <f t="shared" si="36"/>
        <v>6.1798038105156362E-2</v>
      </c>
      <c r="AA52" s="75">
        <f t="shared" si="39"/>
        <v>9.0880029215020558E-2</v>
      </c>
      <c r="AB52" s="75">
        <v>0</v>
      </c>
      <c r="AD52" s="78"/>
      <c r="AE52" s="83"/>
      <c r="AF52" s="77"/>
      <c r="AG52" s="77"/>
      <c r="AH52" s="77"/>
      <c r="AI52" s="77"/>
      <c r="AJ52" s="77"/>
      <c r="AK52" s="77"/>
      <c r="AL52" s="77"/>
      <c r="AM52" s="77"/>
      <c r="AW52" s="24" t="s">
        <v>69</v>
      </c>
      <c r="AX52" s="79" t="s">
        <v>159</v>
      </c>
      <c r="AY52" s="87">
        <v>214734640.84603399</v>
      </c>
      <c r="AZ52" s="87">
        <v>581286934.26025796</v>
      </c>
      <c r="BA52" s="89">
        <v>4447746.6935854303</v>
      </c>
      <c r="BC52" s="57" t="s">
        <v>159</v>
      </c>
      <c r="BD52" s="85">
        <f t="shared" si="21"/>
        <v>181738609.16618124</v>
      </c>
      <c r="BE52" s="85">
        <f t="shared" si="22"/>
        <v>491966636.32244998</v>
      </c>
      <c r="BF52" s="85">
        <f t="shared" si="23"/>
        <v>3764307.8677523341</v>
      </c>
    </row>
    <row r="53" spans="1:58" ht="16" x14ac:dyDescent="0.2">
      <c r="A53" s="24" t="s">
        <v>70</v>
      </c>
      <c r="B53" s="72" t="s">
        <v>159</v>
      </c>
      <c r="C53" s="53">
        <v>0</v>
      </c>
      <c r="D53" s="73">
        <v>0</v>
      </c>
      <c r="E53" s="73">
        <v>0</v>
      </c>
      <c r="F53" s="73">
        <v>0</v>
      </c>
      <c r="G53" s="53">
        <v>0</v>
      </c>
      <c r="H53" s="53">
        <v>1354.86483846537</v>
      </c>
      <c r="I53" s="53">
        <v>1387.5191688257</v>
      </c>
      <c r="J53" s="53">
        <v>17747.674386784998</v>
      </c>
      <c r="K53" s="53">
        <v>3254.6809569157699</v>
      </c>
      <c r="S53" s="24" t="s">
        <v>70</v>
      </c>
      <c r="T53" s="72" t="s">
        <v>159</v>
      </c>
      <c r="U53" s="77">
        <f t="shared" si="37"/>
        <v>5.6250614360563882E-2</v>
      </c>
      <c r="V53" s="77">
        <f t="shared" si="33"/>
        <v>5.6194924547359804E-2</v>
      </c>
      <c r="W53" s="77">
        <f t="shared" si="34"/>
        <v>2.1354066497828408E-2</v>
      </c>
      <c r="X53" s="77">
        <f t="shared" si="38"/>
        <v>0.92069000746268481</v>
      </c>
      <c r="Y53" s="77">
        <f t="shared" si="35"/>
        <v>0.11376120736113564</v>
      </c>
      <c r="Z53" s="77">
        <f t="shared" si="36"/>
        <v>6.2284868684041123E-2</v>
      </c>
      <c r="AA53" s="77">
        <f t="shared" si="39"/>
        <v>9.1586544489521818E-2</v>
      </c>
      <c r="AB53" s="77">
        <v>0</v>
      </c>
      <c r="AD53" s="78"/>
      <c r="AE53" s="83"/>
      <c r="AF53" s="77"/>
      <c r="AG53" s="77"/>
      <c r="AH53" s="77"/>
      <c r="AI53" s="77"/>
      <c r="AJ53" s="77"/>
      <c r="AK53" s="77"/>
      <c r="AL53" s="77"/>
      <c r="AM53" s="77"/>
      <c r="AW53" s="24" t="s">
        <v>70</v>
      </c>
      <c r="AX53" s="79" t="s">
        <v>159</v>
      </c>
      <c r="AY53" s="87">
        <v>103674435.39576399</v>
      </c>
      <c r="AZ53" s="87">
        <v>342733537.64142799</v>
      </c>
      <c r="BA53" s="89">
        <v>2168142.4467864502</v>
      </c>
      <c r="BC53" s="57" t="s">
        <v>159</v>
      </c>
      <c r="BD53" s="85">
        <f t="shared" si="21"/>
        <v>92948569.557396322</v>
      </c>
      <c r="BE53" s="85">
        <f t="shared" si="22"/>
        <v>307275288.66213048</v>
      </c>
      <c r="BF53" s="85">
        <f t="shared" si="23"/>
        <v>1943832.5201017484</v>
      </c>
    </row>
    <row r="54" spans="1:58" ht="16" x14ac:dyDescent="0.2">
      <c r="A54" s="24" t="s">
        <v>71</v>
      </c>
      <c r="B54" s="72" t="s">
        <v>203</v>
      </c>
      <c r="C54" s="53">
        <v>8565.8085840943295</v>
      </c>
      <c r="D54" s="73">
        <v>0</v>
      </c>
      <c r="E54" s="73">
        <v>0</v>
      </c>
      <c r="F54" s="73">
        <v>0</v>
      </c>
      <c r="G54" s="53">
        <v>0</v>
      </c>
      <c r="H54" s="53">
        <v>686.15883897130402</v>
      </c>
      <c r="I54" s="53">
        <v>834.09181112300303</v>
      </c>
      <c r="J54" s="53">
        <v>7854.7557192516797</v>
      </c>
      <c r="K54" s="53">
        <v>0</v>
      </c>
      <c r="S54" s="24" t="s">
        <v>71</v>
      </c>
      <c r="T54" s="72" t="s">
        <v>203</v>
      </c>
      <c r="U54" s="77">
        <f t="shared" si="37"/>
        <v>5.7022925579994652E-2</v>
      </c>
      <c r="V54" s="77">
        <f t="shared" si="33"/>
        <v>5.6194924547359804E-2</v>
      </c>
      <c r="W54" s="77">
        <f t="shared" si="34"/>
        <v>2.1354066497828408E-2</v>
      </c>
      <c r="X54" s="77">
        <f t="shared" si="38"/>
        <v>0.92069000746268481</v>
      </c>
      <c r="Y54" s="77">
        <f t="shared" si="35"/>
        <v>0.11362840495425683</v>
      </c>
      <c r="Z54" s="77">
        <f t="shared" si="36"/>
        <v>6.1996935791642019E-2</v>
      </c>
      <c r="AA54" s="77">
        <f t="shared" si="39"/>
        <v>9.1075938367845152E-2</v>
      </c>
      <c r="AB54" s="77">
        <v>0</v>
      </c>
      <c r="AD54" s="78"/>
      <c r="AE54" s="83"/>
      <c r="AF54" s="77"/>
      <c r="AG54" s="77"/>
      <c r="AH54" s="77"/>
      <c r="AI54" s="77"/>
      <c r="AJ54" s="77"/>
      <c r="AK54" s="77"/>
      <c r="AL54" s="77"/>
      <c r="AM54" s="77"/>
      <c r="AW54" s="24" t="s">
        <v>71</v>
      </c>
      <c r="AX54" s="79" t="s">
        <v>203</v>
      </c>
      <c r="AY54" s="85">
        <v>2590849.8004232598</v>
      </c>
      <c r="AZ54" s="85">
        <v>1080779.47350132</v>
      </c>
      <c r="BA54" s="10">
        <v>0</v>
      </c>
      <c r="BC54" s="57" t="s">
        <v>203</v>
      </c>
      <c r="BD54" s="85">
        <f t="shared" si="21"/>
        <v>2299860.1908228253</v>
      </c>
      <c r="BE54" s="85">
        <f t="shared" si="22"/>
        <v>959392.43014321639</v>
      </c>
      <c r="BF54" s="85">
        <f t="shared" si="23"/>
        <v>0</v>
      </c>
    </row>
    <row r="55" spans="1:58" ht="16" x14ac:dyDescent="0.2">
      <c r="A55" s="24" t="s">
        <v>72</v>
      </c>
      <c r="B55" s="72" t="s">
        <v>203</v>
      </c>
      <c r="C55" s="53">
        <v>7300.4738255453003</v>
      </c>
      <c r="D55" s="73">
        <v>0</v>
      </c>
      <c r="E55" s="73">
        <v>0</v>
      </c>
      <c r="F55" s="73">
        <v>0</v>
      </c>
      <c r="G55" s="53">
        <v>0</v>
      </c>
      <c r="H55" s="53">
        <v>1254.5184982492301</v>
      </c>
      <c r="I55" s="53">
        <v>2997.5207415756099</v>
      </c>
      <c r="J55" s="53">
        <v>20884.357415926799</v>
      </c>
      <c r="K55" s="53">
        <v>0</v>
      </c>
      <c r="S55" s="24" t="s">
        <v>72</v>
      </c>
      <c r="T55" s="72" t="s">
        <v>203</v>
      </c>
      <c r="U55" s="77">
        <f t="shared" si="37"/>
        <v>5.690884035140599E-2</v>
      </c>
      <c r="V55" s="77">
        <f t="shared" si="33"/>
        <v>5.6194924547359804E-2</v>
      </c>
      <c r="W55" s="77">
        <f t="shared" si="34"/>
        <v>2.1354066497828408E-2</v>
      </c>
      <c r="X55" s="77">
        <f t="shared" si="38"/>
        <v>0.92069000746268481</v>
      </c>
      <c r="Y55" s="77">
        <f t="shared" si="35"/>
        <v>0.11374127896881935</v>
      </c>
      <c r="Z55" s="77">
        <f t="shared" si="36"/>
        <v>6.3122507812567938E-2</v>
      </c>
      <c r="AA55" s="77">
        <f t="shared" si="39"/>
        <v>9.174843903351472E-2</v>
      </c>
      <c r="AB55" s="77">
        <v>0</v>
      </c>
      <c r="AD55" s="78"/>
      <c r="AE55" s="83"/>
      <c r="AF55" s="77"/>
      <c r="AG55" s="77"/>
      <c r="AH55" s="77"/>
      <c r="AI55" s="77"/>
      <c r="AJ55" s="77"/>
      <c r="AK55" s="77"/>
      <c r="AL55" s="77"/>
      <c r="AM55" s="77"/>
      <c r="AW55" s="24" t="s">
        <v>72</v>
      </c>
      <c r="AX55" s="79" t="s">
        <v>203</v>
      </c>
      <c r="AY55" s="85">
        <v>2398577.5741173001</v>
      </c>
      <c r="AZ55" s="85">
        <v>1039782.86615349</v>
      </c>
      <c r="BA55" s="10">
        <v>0</v>
      </c>
      <c r="BC55" s="57" t="s">
        <v>203</v>
      </c>
      <c r="BD55" s="85">
        <f t="shared" si="21"/>
        <v>2149152.4244491593</v>
      </c>
      <c r="BE55" s="85">
        <f t="shared" si="22"/>
        <v>931657.11703814403</v>
      </c>
      <c r="BF55" s="85">
        <f t="shared" si="23"/>
        <v>0</v>
      </c>
    </row>
    <row r="56" spans="1:58" ht="16" x14ac:dyDescent="0.2">
      <c r="A56" s="24" t="s">
        <v>73</v>
      </c>
      <c r="B56" s="72" t="s">
        <v>203</v>
      </c>
      <c r="C56" s="53">
        <v>6549.9264964896702</v>
      </c>
      <c r="D56" s="73">
        <v>0</v>
      </c>
      <c r="E56" s="73">
        <v>0</v>
      </c>
      <c r="F56" s="73">
        <v>0</v>
      </c>
      <c r="G56" s="53">
        <v>0</v>
      </c>
      <c r="H56" s="53">
        <v>1448.0454283465201</v>
      </c>
      <c r="I56" s="53">
        <v>2145.4080321188299</v>
      </c>
      <c r="J56" s="53">
        <v>5227.9409184548604</v>
      </c>
      <c r="K56" s="53">
        <v>0</v>
      </c>
      <c r="S56" s="24" t="s">
        <v>73</v>
      </c>
      <c r="T56" s="72" t="s">
        <v>203</v>
      </c>
      <c r="U56" s="77">
        <f t="shared" si="37"/>
        <v>5.684116943426458E-2</v>
      </c>
      <c r="V56" s="77">
        <f t="shared" si="33"/>
        <v>5.6194924547359804E-2</v>
      </c>
      <c r="W56" s="77">
        <f t="shared" si="34"/>
        <v>2.1354066497828408E-2</v>
      </c>
      <c r="X56" s="77">
        <f t="shared" si="38"/>
        <v>0.92069000746268481</v>
      </c>
      <c r="Y56" s="77">
        <f t="shared" si="35"/>
        <v>0.11377971266334612</v>
      </c>
      <c r="Z56" s="77">
        <f t="shared" si="36"/>
        <v>6.2679177222438834E-2</v>
      </c>
      <c r="AA56" s="77">
        <f t="shared" si="39"/>
        <v>9.0940359802724677E-2</v>
      </c>
      <c r="AB56" s="77">
        <v>0</v>
      </c>
      <c r="AD56" s="78"/>
      <c r="AE56" s="83"/>
      <c r="AF56" s="77"/>
      <c r="AG56" s="77"/>
      <c r="AH56" s="77"/>
      <c r="AI56" s="77"/>
      <c r="AJ56" s="77"/>
      <c r="AK56" s="77"/>
      <c r="AL56" s="77"/>
      <c r="AM56" s="77"/>
      <c r="AW56" s="24" t="s">
        <v>73</v>
      </c>
      <c r="AX56" s="79" t="s">
        <v>203</v>
      </c>
      <c r="AY56" s="85">
        <v>2519326.8444785201</v>
      </c>
      <c r="AZ56" s="85">
        <v>859774.42067138897</v>
      </c>
      <c r="BA56" s="10">
        <v>0</v>
      </c>
      <c r="BC56" s="57" t="s">
        <v>203</v>
      </c>
      <c r="BD56" s="85">
        <f t="shared" si="21"/>
        <v>2510493.1061966848</v>
      </c>
      <c r="BE56" s="85">
        <f t="shared" si="22"/>
        <v>856759.71766440384</v>
      </c>
      <c r="BF56" s="85">
        <f t="shared" si="23"/>
        <v>0</v>
      </c>
    </row>
    <row r="57" spans="1:58" ht="16" x14ac:dyDescent="0.2">
      <c r="A57" s="24" t="s">
        <v>74</v>
      </c>
      <c r="B57" s="72" t="s">
        <v>195</v>
      </c>
      <c r="C57" s="53">
        <v>9805.7238708875193</v>
      </c>
      <c r="D57" s="73">
        <v>0</v>
      </c>
      <c r="E57" s="73">
        <v>0</v>
      </c>
      <c r="F57" s="73">
        <v>0</v>
      </c>
      <c r="G57" s="53">
        <v>0</v>
      </c>
      <c r="H57" s="53">
        <v>731.42554074426198</v>
      </c>
      <c r="I57" s="53">
        <v>19464.552426063801</v>
      </c>
      <c r="J57" s="53">
        <v>3242.59623119862</v>
      </c>
      <c r="K57" s="53">
        <v>0</v>
      </c>
      <c r="S57" s="24" t="s">
        <v>74</v>
      </c>
      <c r="T57" s="72" t="s">
        <v>195</v>
      </c>
      <c r="U57" s="77">
        <f t="shared" si="37"/>
        <v>5.7134718935838762E-2</v>
      </c>
      <c r="V57" s="77">
        <f t="shared" si="33"/>
        <v>5.6194924547359804E-2</v>
      </c>
      <c r="W57" s="77">
        <f t="shared" si="34"/>
        <v>2.1354066497828408E-2</v>
      </c>
      <c r="X57" s="77">
        <f t="shared" si="38"/>
        <v>0.92069000746268481</v>
      </c>
      <c r="Y57" s="77">
        <f t="shared" si="35"/>
        <v>0.11363739474491438</v>
      </c>
      <c r="Z57" s="77">
        <f t="shared" si="36"/>
        <v>7.1689847312776458E-2</v>
      </c>
      <c r="AA57" s="77">
        <f t="shared" si="39"/>
        <v>9.0837889623294393E-2</v>
      </c>
      <c r="AB57" s="77">
        <v>0</v>
      </c>
      <c r="AD57" s="78"/>
      <c r="AE57" s="83"/>
      <c r="AF57" s="77"/>
      <c r="AG57" s="77"/>
      <c r="AH57" s="77"/>
      <c r="AI57" s="77"/>
      <c r="AJ57" s="77"/>
      <c r="AK57" s="77"/>
      <c r="AL57" s="77"/>
      <c r="AM57" s="77"/>
      <c r="AW57" s="24" t="s">
        <v>74</v>
      </c>
      <c r="AX57" s="79" t="s">
        <v>195</v>
      </c>
      <c r="AY57" s="87">
        <v>202740532.28472</v>
      </c>
      <c r="AZ57" s="85">
        <v>733273.87217140303</v>
      </c>
      <c r="BA57" s="89">
        <v>7003631.9744069995</v>
      </c>
      <c r="BC57" s="57" t="s">
        <v>195</v>
      </c>
      <c r="BD57" s="85">
        <f t="shared" si="21"/>
        <v>156567404.67349851</v>
      </c>
      <c r="BE57" s="85">
        <f t="shared" si="22"/>
        <v>566274.4680946857</v>
      </c>
      <c r="BF57" s="85">
        <f t="shared" si="23"/>
        <v>5408590.3255955754</v>
      </c>
    </row>
    <row r="58" spans="1:58" ht="16" x14ac:dyDescent="0.2">
      <c r="A58" s="24" t="s">
        <v>75</v>
      </c>
      <c r="B58" s="72" t="s">
        <v>195</v>
      </c>
      <c r="C58" s="53">
        <v>8339.9580395360008</v>
      </c>
      <c r="D58" s="73">
        <v>0</v>
      </c>
      <c r="E58" s="73">
        <v>0</v>
      </c>
      <c r="F58" s="73">
        <v>0</v>
      </c>
      <c r="G58" s="53">
        <v>0</v>
      </c>
      <c r="H58" s="53">
        <v>7505.0645072645602</v>
      </c>
      <c r="I58" s="53">
        <v>0</v>
      </c>
      <c r="J58" s="53">
        <v>15727.2036094797</v>
      </c>
      <c r="K58" s="53">
        <v>1200.4067069443299</v>
      </c>
      <c r="S58" s="24" t="s">
        <v>75</v>
      </c>
      <c r="T58" s="72" t="s">
        <v>195</v>
      </c>
      <c r="U58" s="77">
        <f t="shared" si="37"/>
        <v>5.7002562422475492E-2</v>
      </c>
      <c r="V58" s="77">
        <f t="shared" si="33"/>
        <v>5.6194924547359804E-2</v>
      </c>
      <c r="W58" s="77">
        <f t="shared" si="34"/>
        <v>2.1354066497828408E-2</v>
      </c>
      <c r="X58" s="77">
        <f t="shared" si="38"/>
        <v>0.92069000746268481</v>
      </c>
      <c r="Y58" s="77">
        <f t="shared" si="35"/>
        <v>0.11498261306023176</v>
      </c>
      <c r="Z58" s="77">
        <f t="shared" si="36"/>
        <v>6.1562980974699144E-2</v>
      </c>
      <c r="AA58" s="77">
        <f t="shared" si="39"/>
        <v>9.1482261336871762E-2</v>
      </c>
      <c r="AB58" s="77">
        <v>0</v>
      </c>
      <c r="AD58" s="78"/>
      <c r="AE58" s="83"/>
      <c r="AF58" s="77"/>
      <c r="AG58" s="77"/>
      <c r="AH58" s="77"/>
      <c r="AI58" s="77"/>
      <c r="AJ58" s="77"/>
      <c r="AK58" s="77"/>
      <c r="AL58" s="77"/>
      <c r="AM58" s="77"/>
      <c r="AW58" s="24" t="s">
        <v>75</v>
      </c>
      <c r="AX58" s="79" t="s">
        <v>195</v>
      </c>
      <c r="AY58" s="87">
        <v>223360877.17012301</v>
      </c>
      <c r="AZ58" s="85">
        <v>799873.87869555305</v>
      </c>
      <c r="BA58" s="89">
        <v>7278530.42871047</v>
      </c>
      <c r="BC58" s="57" t="s">
        <v>195</v>
      </c>
      <c r="BD58" s="85">
        <f t="shared" si="21"/>
        <v>188458091.34174734</v>
      </c>
      <c r="BE58" s="85">
        <f t="shared" si="22"/>
        <v>674884.09968174936</v>
      </c>
      <c r="BF58" s="85">
        <f t="shared" si="23"/>
        <v>6141173.7352860151</v>
      </c>
    </row>
    <row r="59" spans="1:58" ht="16" x14ac:dyDescent="0.2">
      <c r="A59" s="24" t="s">
        <v>76</v>
      </c>
      <c r="B59" s="72" t="s">
        <v>195</v>
      </c>
      <c r="C59" s="53">
        <v>10479.985837382799</v>
      </c>
      <c r="D59" s="73">
        <v>0</v>
      </c>
      <c r="E59" s="73">
        <v>5009.19249581857</v>
      </c>
      <c r="F59" s="73">
        <v>0</v>
      </c>
      <c r="G59" s="53">
        <v>22601.512603077499</v>
      </c>
      <c r="H59" s="53">
        <v>0</v>
      </c>
      <c r="I59" s="53">
        <v>215662.96955227901</v>
      </c>
      <c r="J59" s="53">
        <v>44926.486130941601</v>
      </c>
      <c r="K59" s="53">
        <v>1620.6546645815199</v>
      </c>
      <c r="S59" s="24" t="s">
        <v>76</v>
      </c>
      <c r="T59" s="72" t="s">
        <v>195</v>
      </c>
      <c r="U59" s="77">
        <f t="shared" si="37"/>
        <v>5.7195511805122196E-2</v>
      </c>
      <c r="V59" s="77">
        <f t="shared" si="33"/>
        <v>5.6194924547359804E-2</v>
      </c>
      <c r="W59" s="77">
        <f t="shared" si="34"/>
        <v>2.1354066497828408E-2</v>
      </c>
      <c r="X59" s="77">
        <f t="shared" si="38"/>
        <v>0.95196757350909322</v>
      </c>
      <c r="Y59" s="77">
        <f t="shared" si="35"/>
        <v>0.11349213648143693</v>
      </c>
      <c r="Z59" s="77">
        <f t="shared" si="36"/>
        <v>0.1737664377469349</v>
      </c>
      <c r="AA59" s="77">
        <f t="shared" si="39"/>
        <v>9.2989332496059077E-2</v>
      </c>
      <c r="AB59" s="77">
        <v>0</v>
      </c>
      <c r="AD59" s="78"/>
      <c r="AE59" s="83"/>
      <c r="AF59" s="77"/>
      <c r="AG59" s="77"/>
      <c r="AH59" s="77"/>
      <c r="AI59" s="77"/>
      <c r="AJ59" s="77"/>
      <c r="AK59" s="77"/>
      <c r="AL59" s="77"/>
      <c r="AM59" s="77"/>
      <c r="AW59" s="24" t="s">
        <v>76</v>
      </c>
      <c r="AX59" s="79" t="s">
        <v>195</v>
      </c>
      <c r="AY59" s="87">
        <v>252930243.079014</v>
      </c>
      <c r="AZ59" s="85">
        <v>574352.93482560595</v>
      </c>
      <c r="BA59" s="89">
        <v>11774330.740718899</v>
      </c>
      <c r="BC59" s="57" t="s">
        <v>195</v>
      </c>
      <c r="BD59" s="85">
        <f t="shared" si="21"/>
        <v>216585181.96447784</v>
      </c>
      <c r="BE59" s="85">
        <f t="shared" si="22"/>
        <v>491820.72253089567</v>
      </c>
      <c r="BF59" s="85">
        <f t="shared" si="23"/>
        <v>10082406.654675521</v>
      </c>
    </row>
    <row r="60" spans="1:58" ht="16" x14ac:dyDescent="0.2">
      <c r="A60" s="24" t="s">
        <v>77</v>
      </c>
      <c r="B60" s="72" t="s">
        <v>199</v>
      </c>
      <c r="C60" s="53">
        <v>6328.9431722311301</v>
      </c>
      <c r="D60" s="73">
        <v>0</v>
      </c>
      <c r="E60" s="73">
        <v>0</v>
      </c>
      <c r="F60" s="73">
        <v>0</v>
      </c>
      <c r="G60" s="53">
        <v>0</v>
      </c>
      <c r="H60" s="53">
        <v>2393.7804691474498</v>
      </c>
      <c r="I60" s="53">
        <v>1458.3350726691399</v>
      </c>
      <c r="J60" s="53">
        <v>48944.480256943803</v>
      </c>
      <c r="K60" s="53">
        <v>0</v>
      </c>
      <c r="S60" s="24" t="s">
        <v>77</v>
      </c>
      <c r="T60" s="72" t="s">
        <v>199</v>
      </c>
      <c r="U60" s="77">
        <f t="shared" si="37"/>
        <v>5.6821245115508623E-2</v>
      </c>
      <c r="V60" s="77">
        <f t="shared" si="33"/>
        <v>5.6194924547359804E-2</v>
      </c>
      <c r="W60" s="77">
        <f t="shared" si="34"/>
        <v>2.1354066497828408E-2</v>
      </c>
      <c r="X60" s="77">
        <f t="shared" si="38"/>
        <v>0.92069000746268481</v>
      </c>
      <c r="Y60" s="77">
        <f t="shared" si="35"/>
        <v>0.11396753195879589</v>
      </c>
      <c r="Z60" s="77">
        <f t="shared" si="36"/>
        <v>6.2321712233131543E-2</v>
      </c>
      <c r="AA60" s="77">
        <f t="shared" si="39"/>
        <v>9.3196714408975284E-2</v>
      </c>
      <c r="AB60" s="77">
        <v>0</v>
      </c>
      <c r="AD60" s="78"/>
      <c r="AE60" s="83"/>
      <c r="AF60" s="77"/>
      <c r="AG60" s="77"/>
      <c r="AH60" s="77"/>
      <c r="AI60" s="77"/>
      <c r="AJ60" s="77"/>
      <c r="AK60" s="77"/>
      <c r="AL60" s="77"/>
      <c r="AM60" s="77"/>
      <c r="AW60" s="24" t="s">
        <v>77</v>
      </c>
      <c r="AX60" s="79" t="s">
        <v>199</v>
      </c>
      <c r="AY60" s="87">
        <v>88517435.571978301</v>
      </c>
      <c r="AZ60" s="87">
        <v>1172841700.89171</v>
      </c>
      <c r="BA60" s="89">
        <v>42434029.160944402</v>
      </c>
      <c r="BC60" s="57" t="s">
        <v>199</v>
      </c>
      <c r="BD60" s="85">
        <f t="shared" si="21"/>
        <v>83598973.277155876</v>
      </c>
      <c r="BE60" s="85">
        <f t="shared" si="22"/>
        <v>1107672871.1989367</v>
      </c>
      <c r="BF60" s="85">
        <f t="shared" si="23"/>
        <v>40076186.651196286</v>
      </c>
    </row>
    <row r="61" spans="1:58" ht="16" x14ac:dyDescent="0.2">
      <c r="A61" s="24" t="s">
        <v>78</v>
      </c>
      <c r="B61" s="72" t="s">
        <v>199</v>
      </c>
      <c r="C61" s="53">
        <v>7264.2483223682102</v>
      </c>
      <c r="D61" s="73">
        <v>0</v>
      </c>
      <c r="E61" s="73">
        <v>0</v>
      </c>
      <c r="F61" s="73">
        <v>0</v>
      </c>
      <c r="G61" s="53">
        <v>0</v>
      </c>
      <c r="H61" s="53">
        <v>811.66132617435005</v>
      </c>
      <c r="I61" s="53">
        <v>330.45023656805898</v>
      </c>
      <c r="J61" s="53">
        <v>6729.4582741713702</v>
      </c>
      <c r="K61" s="53">
        <v>6527.1175567014598</v>
      </c>
      <c r="S61" s="24" t="s">
        <v>78</v>
      </c>
      <c r="T61" s="72" t="s">
        <v>199</v>
      </c>
      <c r="U61" s="77">
        <f t="shared" si="37"/>
        <v>5.6905574184265027E-2</v>
      </c>
      <c r="V61" s="77">
        <f t="shared" si="33"/>
        <v>5.6194924547359804E-2</v>
      </c>
      <c r="W61" s="77">
        <f t="shared" si="34"/>
        <v>2.1354066497828408E-2</v>
      </c>
      <c r="X61" s="77">
        <f t="shared" si="38"/>
        <v>0.92069000746268481</v>
      </c>
      <c r="Y61" s="77">
        <f t="shared" si="35"/>
        <v>0.11365332925938114</v>
      </c>
      <c r="Z61" s="77">
        <f t="shared" si="36"/>
        <v>6.1734905060280981E-2</v>
      </c>
      <c r="AA61" s="77">
        <f t="shared" si="39"/>
        <v>9.1017858059750559E-2</v>
      </c>
      <c r="AB61" s="77">
        <v>0</v>
      </c>
      <c r="AD61" s="78"/>
      <c r="AE61" s="83"/>
      <c r="AF61" s="77"/>
      <c r="AG61" s="77"/>
      <c r="AH61" s="77"/>
      <c r="AI61" s="77"/>
      <c r="AJ61" s="77"/>
      <c r="AK61" s="77"/>
      <c r="AL61" s="77"/>
      <c r="AM61" s="77"/>
      <c r="AW61" s="24" t="s">
        <v>78</v>
      </c>
      <c r="AX61" s="79" t="s">
        <v>199</v>
      </c>
      <c r="AY61" s="87">
        <v>77344078.582999706</v>
      </c>
      <c r="AZ61" s="87">
        <v>723797972.94532597</v>
      </c>
      <c r="BA61" s="89">
        <v>32836730.283258699</v>
      </c>
      <c r="BC61" s="57" t="s">
        <v>199</v>
      </c>
      <c r="BD61" s="85">
        <f t="shared" si="21"/>
        <v>64647769.018671192</v>
      </c>
      <c r="BE61" s="85">
        <f t="shared" si="22"/>
        <v>604983924.15313816</v>
      </c>
      <c r="BF61" s="85">
        <f t="shared" si="23"/>
        <v>27446462.529157493</v>
      </c>
    </row>
    <row r="62" spans="1:58" ht="16" x14ac:dyDescent="0.2">
      <c r="A62" s="24" t="s">
        <v>79</v>
      </c>
      <c r="B62" s="72" t="s">
        <v>199</v>
      </c>
      <c r="C62" s="53">
        <v>5304.3655045518699</v>
      </c>
      <c r="D62" s="73">
        <v>0</v>
      </c>
      <c r="E62" s="73">
        <v>6983.7251123709002</v>
      </c>
      <c r="F62" s="73">
        <v>0</v>
      </c>
      <c r="G62" s="53">
        <v>0</v>
      </c>
      <c r="H62" s="53">
        <v>2723.4006571922901</v>
      </c>
      <c r="I62" s="53">
        <v>363.43322255948902</v>
      </c>
      <c r="J62" s="53">
        <v>7152.2996527540199</v>
      </c>
      <c r="K62" s="53">
        <v>3728.9337347624801</v>
      </c>
      <c r="S62" s="24" t="s">
        <v>79</v>
      </c>
      <c r="T62" s="72" t="s">
        <v>199</v>
      </c>
      <c r="U62" s="77">
        <f t="shared" si="37"/>
        <v>5.672886704983527E-2</v>
      </c>
      <c r="V62" s="77">
        <f t="shared" si="33"/>
        <v>5.6194924547359804E-2</v>
      </c>
      <c r="W62" s="77">
        <f t="shared" si="34"/>
        <v>2.1354066497828408E-2</v>
      </c>
      <c r="X62" s="77">
        <f t="shared" si="38"/>
        <v>0.92069000746268481</v>
      </c>
      <c r="Y62" s="77">
        <f t="shared" si="35"/>
        <v>0.11403299324426562</v>
      </c>
      <c r="Z62" s="77">
        <f t="shared" si="36"/>
        <v>6.1752065192363891E-2</v>
      </c>
      <c r="AA62" s="77">
        <f t="shared" si="39"/>
        <v>9.103968229622296E-2</v>
      </c>
      <c r="AB62" s="77">
        <v>0</v>
      </c>
      <c r="AD62" s="78"/>
      <c r="AE62" s="83"/>
      <c r="AF62" s="77"/>
      <c r="AG62" s="77"/>
      <c r="AH62" s="77"/>
      <c r="AI62" s="77"/>
      <c r="AJ62" s="77"/>
      <c r="AK62" s="77"/>
      <c r="AL62" s="77"/>
      <c r="AM62" s="77"/>
      <c r="AW62" s="24" t="s">
        <v>79</v>
      </c>
      <c r="AX62" s="79" t="s">
        <v>199</v>
      </c>
      <c r="AY62" s="87">
        <v>73850120.848759994</v>
      </c>
      <c r="AZ62" s="87">
        <v>543114961.92724097</v>
      </c>
      <c r="BA62" s="89">
        <v>29249388.086325601</v>
      </c>
      <c r="BC62" s="57" t="s">
        <v>199</v>
      </c>
      <c r="BD62" s="85">
        <f t="shared" si="21"/>
        <v>67430742.597576693</v>
      </c>
      <c r="BE62" s="85">
        <f t="shared" si="22"/>
        <v>495905013.79962707</v>
      </c>
      <c r="BF62" s="85">
        <f t="shared" si="23"/>
        <v>26706902.257137805</v>
      </c>
    </row>
    <row r="63" spans="1:58" ht="16" x14ac:dyDescent="0.2">
      <c r="A63" s="24" t="s">
        <v>80</v>
      </c>
      <c r="B63" s="72" t="s">
        <v>163</v>
      </c>
      <c r="C63" s="53">
        <v>5835.3916652789403</v>
      </c>
      <c r="D63" s="73">
        <v>0</v>
      </c>
      <c r="E63" s="73">
        <v>0</v>
      </c>
      <c r="F63" s="73">
        <v>0</v>
      </c>
      <c r="G63" s="53">
        <v>0</v>
      </c>
      <c r="H63" s="53">
        <v>2874.6987049116401</v>
      </c>
      <c r="I63" s="53">
        <v>609.51091151716003</v>
      </c>
      <c r="J63" s="53">
        <v>20134.311258498499</v>
      </c>
      <c r="K63" s="53">
        <v>2418.7951815577899</v>
      </c>
      <c r="S63" s="24" t="s">
        <v>80</v>
      </c>
      <c r="T63" s="72" t="s">
        <v>163</v>
      </c>
      <c r="U63" s="77">
        <f t="shared" si="37"/>
        <v>5.6776745479257831E-2</v>
      </c>
      <c r="V63" s="77">
        <f t="shared" si="33"/>
        <v>5.6194924547359804E-2</v>
      </c>
      <c r="W63" s="77">
        <f t="shared" si="34"/>
        <v>2.1354066497828408E-2</v>
      </c>
      <c r="X63" s="77">
        <f t="shared" si="38"/>
        <v>0.92069000746268481</v>
      </c>
      <c r="Y63" s="77">
        <f t="shared" si="35"/>
        <v>0.11406304044723432</v>
      </c>
      <c r="Z63" s="77">
        <f t="shared" si="36"/>
        <v>6.1880092583403226E-2</v>
      </c>
      <c r="AA63" s="77">
        <f t="shared" si="39"/>
        <v>9.1709726680528361E-2</v>
      </c>
      <c r="AB63" s="77">
        <v>0</v>
      </c>
      <c r="AD63" s="78"/>
      <c r="AE63" s="83"/>
      <c r="AF63" s="77"/>
      <c r="AG63" s="77"/>
      <c r="AH63" s="77"/>
      <c r="AI63" s="77"/>
      <c r="AJ63" s="77"/>
      <c r="AK63" s="77"/>
      <c r="AL63" s="77"/>
      <c r="AM63" s="77"/>
      <c r="AW63" s="24" t="s">
        <v>80</v>
      </c>
      <c r="AX63" s="79" t="s">
        <v>163</v>
      </c>
      <c r="AY63" s="90">
        <v>296322408.27734798</v>
      </c>
      <c r="AZ63" s="90">
        <v>1173125453.1896701</v>
      </c>
      <c r="BA63" s="66">
        <v>6753019.73335231</v>
      </c>
      <c r="BC63" s="57" t="s">
        <v>163</v>
      </c>
      <c r="BD63" s="85">
        <f t="shared" si="21"/>
        <v>244854230.21390253</v>
      </c>
      <c r="BE63" s="85">
        <f t="shared" si="22"/>
        <v>969365534.84082329</v>
      </c>
      <c r="BF63" s="85">
        <f t="shared" si="23"/>
        <v>5580089.1267110882</v>
      </c>
    </row>
    <row r="64" spans="1:58" ht="16" x14ac:dyDescent="0.2">
      <c r="A64" s="24" t="s">
        <v>81</v>
      </c>
      <c r="B64" s="72" t="s">
        <v>163</v>
      </c>
      <c r="C64" s="53">
        <v>12115.326418896801</v>
      </c>
      <c r="D64" s="73">
        <v>0</v>
      </c>
      <c r="E64" s="73">
        <v>5761.6644698336904</v>
      </c>
      <c r="F64" s="73">
        <v>0</v>
      </c>
      <c r="G64" s="53">
        <v>0</v>
      </c>
      <c r="H64" s="53">
        <v>2143.8368905194102</v>
      </c>
      <c r="I64" s="53">
        <v>6905.1673309913904</v>
      </c>
      <c r="J64" s="53">
        <v>33922.508794385401</v>
      </c>
      <c r="K64" s="53">
        <v>2480.3688213197802</v>
      </c>
      <c r="S64" s="24" t="s">
        <v>81</v>
      </c>
      <c r="T64" s="72" t="s">
        <v>163</v>
      </c>
      <c r="U64" s="77">
        <f t="shared" si="37"/>
        <v>5.7342957532667278E-2</v>
      </c>
      <c r="V64" s="77">
        <f t="shared" si="33"/>
        <v>5.6194924547359804E-2</v>
      </c>
      <c r="W64" s="77">
        <f t="shared" si="34"/>
        <v>2.1354066497828408E-2</v>
      </c>
      <c r="X64" s="77">
        <f t="shared" si="38"/>
        <v>0.92069000746268481</v>
      </c>
      <c r="Y64" s="77">
        <f t="shared" si="35"/>
        <v>0.11391789413761463</v>
      </c>
      <c r="Z64" s="77">
        <f t="shared" si="36"/>
        <v>6.5155547866161387E-2</v>
      </c>
      <c r="AA64" s="77">
        <f t="shared" si="39"/>
        <v>9.2421380976425493E-2</v>
      </c>
      <c r="AB64" s="77">
        <v>0</v>
      </c>
      <c r="AD64" s="78"/>
      <c r="AE64" s="83"/>
      <c r="AF64" s="77"/>
      <c r="AG64" s="77"/>
      <c r="AH64" s="77"/>
      <c r="AI64" s="77"/>
      <c r="AJ64" s="77"/>
      <c r="AK64" s="77"/>
      <c r="AL64" s="77"/>
      <c r="AM64" s="77"/>
      <c r="AW64" s="24" t="s">
        <v>81</v>
      </c>
      <c r="AX64" s="79" t="s">
        <v>163</v>
      </c>
      <c r="AY64" s="87">
        <v>271627140.125359</v>
      </c>
      <c r="AZ64" s="87">
        <v>756928485.69245398</v>
      </c>
      <c r="BA64" s="10">
        <v>5862913.7649321798</v>
      </c>
      <c r="BC64" s="57" t="s">
        <v>163</v>
      </c>
      <c r="BD64" s="85">
        <f t="shared" si="21"/>
        <v>246164610.63439602</v>
      </c>
      <c r="BE64" s="85">
        <f t="shared" si="22"/>
        <v>685973448.28124678</v>
      </c>
      <c r="BF64" s="85">
        <f t="shared" si="23"/>
        <v>5313319.8820320321</v>
      </c>
    </row>
    <row r="65" spans="1:58" ht="16" x14ac:dyDescent="0.2">
      <c r="A65" s="24" t="s">
        <v>82</v>
      </c>
      <c r="B65" s="72" t="s">
        <v>163</v>
      </c>
      <c r="C65" s="53">
        <v>11130.6994273892</v>
      </c>
      <c r="D65" s="73">
        <v>0</v>
      </c>
      <c r="E65" s="73">
        <v>10608.2988101513</v>
      </c>
      <c r="F65" s="73">
        <v>0</v>
      </c>
      <c r="G65" s="53">
        <v>0</v>
      </c>
      <c r="H65" s="53">
        <v>3816.4002203074201</v>
      </c>
      <c r="I65" s="53">
        <v>4020.26564771426</v>
      </c>
      <c r="J65" s="53">
        <v>4374.3221818231204</v>
      </c>
      <c r="K65" s="53">
        <v>0</v>
      </c>
      <c r="S65" s="24" t="s">
        <v>82</v>
      </c>
      <c r="T65" s="72" t="s">
        <v>163</v>
      </c>
      <c r="U65" s="77">
        <f t="shared" si="37"/>
        <v>5.7254181503524189E-2</v>
      </c>
      <c r="V65" s="77">
        <f t="shared" si="33"/>
        <v>5.6194924547359804E-2</v>
      </c>
      <c r="W65" s="77">
        <f t="shared" si="34"/>
        <v>2.1354066497828408E-2</v>
      </c>
      <c r="X65" s="77">
        <f t="shared" si="38"/>
        <v>0.92069000746268481</v>
      </c>
      <c r="Y65" s="77">
        <f t="shared" si="35"/>
        <v>0.11425005870024926</v>
      </c>
      <c r="Z65" s="77">
        <f t="shared" si="36"/>
        <v>6.3654613598290846E-2</v>
      </c>
      <c r="AA65" s="77">
        <f t="shared" si="39"/>
        <v>9.0896301727736911E-2</v>
      </c>
      <c r="AB65" s="77">
        <v>0</v>
      </c>
      <c r="AD65" s="78"/>
      <c r="AE65" s="83"/>
      <c r="AF65" s="77"/>
      <c r="AG65" s="77"/>
      <c r="AH65" s="77"/>
      <c r="AI65" s="77"/>
      <c r="AJ65" s="77"/>
      <c r="AK65" s="77"/>
      <c r="AL65" s="77"/>
      <c r="AM65" s="77"/>
      <c r="AW65" s="24" t="s">
        <v>82</v>
      </c>
      <c r="AX65" s="79" t="s">
        <v>163</v>
      </c>
      <c r="AY65" s="87">
        <v>256099126.36786699</v>
      </c>
      <c r="AZ65" s="87">
        <v>610744910.38221204</v>
      </c>
      <c r="BA65" s="10">
        <v>6068228.8383052703</v>
      </c>
      <c r="BC65" s="57" t="s">
        <v>163</v>
      </c>
      <c r="BD65" s="85">
        <f t="shared" si="21"/>
        <v>208098696.38356525</v>
      </c>
      <c r="BE65" s="85">
        <f t="shared" si="22"/>
        <v>496273538.59408736</v>
      </c>
      <c r="BF65" s="85">
        <f t="shared" si="23"/>
        <v>4930866.1396781979</v>
      </c>
    </row>
    <row r="66" spans="1:58" ht="16" x14ac:dyDescent="0.2">
      <c r="A66" s="24" t="s">
        <v>83</v>
      </c>
      <c r="B66" s="72" t="s">
        <v>204</v>
      </c>
      <c r="C66" s="53">
        <v>7136.0966671238903</v>
      </c>
      <c r="D66" s="73">
        <v>0</v>
      </c>
      <c r="E66" s="73">
        <v>14761.866614689399</v>
      </c>
      <c r="F66" s="73">
        <v>0</v>
      </c>
      <c r="G66" s="53">
        <v>0</v>
      </c>
      <c r="H66" s="53">
        <v>3309.1774863896899</v>
      </c>
      <c r="I66" s="53">
        <v>9168.6756527019097</v>
      </c>
      <c r="J66" s="53">
        <v>69785.493724097105</v>
      </c>
      <c r="K66" s="53">
        <v>0</v>
      </c>
      <c r="S66" s="24" t="s">
        <v>83</v>
      </c>
      <c r="T66" s="72" t="s">
        <v>204</v>
      </c>
      <c r="U66" s="77">
        <f t="shared" si="37"/>
        <v>5.6894019762967589E-2</v>
      </c>
      <c r="V66" s="77">
        <f t="shared" si="33"/>
        <v>5.6194924547359804E-2</v>
      </c>
      <c r="W66" s="77">
        <f t="shared" si="34"/>
        <v>2.1354066497828408E-2</v>
      </c>
      <c r="X66" s="77">
        <f t="shared" si="38"/>
        <v>0.92069000746268481</v>
      </c>
      <c r="Y66" s="77">
        <f t="shared" si="35"/>
        <v>0.11414932624093396</v>
      </c>
      <c r="Z66" s="77">
        <f t="shared" si="36"/>
        <v>6.6333188416395378E-2</v>
      </c>
      <c r="AA66" s="77">
        <f t="shared" si="39"/>
        <v>9.4272387768466054E-2</v>
      </c>
      <c r="AB66" s="77">
        <v>0</v>
      </c>
      <c r="AD66" s="78"/>
      <c r="AE66" s="83"/>
      <c r="AF66" s="77"/>
      <c r="AG66" s="77"/>
      <c r="AH66" s="77"/>
      <c r="AI66" s="77"/>
      <c r="AJ66" s="77"/>
      <c r="AK66" s="77"/>
      <c r="AL66" s="77"/>
      <c r="AM66" s="77"/>
      <c r="AW66" s="24" t="s">
        <v>83</v>
      </c>
      <c r="AX66" s="79" t="s">
        <v>204</v>
      </c>
      <c r="AY66" s="85">
        <v>2475007.38240678</v>
      </c>
      <c r="AZ66" s="85">
        <v>927800.458709714</v>
      </c>
      <c r="BA66" s="10">
        <v>0</v>
      </c>
      <c r="BC66" s="57" t="s">
        <v>204</v>
      </c>
      <c r="BD66" s="85">
        <f t="shared" si="21"/>
        <v>2124420.2486487483</v>
      </c>
      <c r="BE66" s="85">
        <f t="shared" si="22"/>
        <v>796376.64727763762</v>
      </c>
      <c r="BF66" s="85">
        <f t="shared" si="23"/>
        <v>0</v>
      </c>
    </row>
    <row r="67" spans="1:58" ht="16" x14ac:dyDescent="0.2">
      <c r="A67" s="24" t="s">
        <v>84</v>
      </c>
      <c r="B67" s="72" t="s">
        <v>204</v>
      </c>
      <c r="C67" s="53">
        <v>10073.5073590299</v>
      </c>
      <c r="D67" s="73">
        <v>0</v>
      </c>
      <c r="E67" s="73">
        <v>14875.4563198903</v>
      </c>
      <c r="F67" s="73">
        <v>0</v>
      </c>
      <c r="G67" s="53">
        <v>0</v>
      </c>
      <c r="H67" s="53">
        <v>5646.7786846584104</v>
      </c>
      <c r="I67" s="53">
        <v>4990.2592475716101</v>
      </c>
      <c r="J67" s="53">
        <v>4326.3863071155602</v>
      </c>
      <c r="K67" s="53">
        <v>0</v>
      </c>
      <c r="S67" s="24" t="s">
        <v>84</v>
      </c>
      <c r="T67" s="72" t="s">
        <v>204</v>
      </c>
      <c r="U67" s="77">
        <f t="shared" si="37"/>
        <v>5.7158862855264503E-2</v>
      </c>
      <c r="V67" s="77">
        <f t="shared" si="33"/>
        <v>5.6194924547359804E-2</v>
      </c>
      <c r="W67" s="77">
        <f t="shared" si="34"/>
        <v>2.1354066497828408E-2</v>
      </c>
      <c r="X67" s="77">
        <f t="shared" si="38"/>
        <v>0.92069000746268481</v>
      </c>
      <c r="Y67" s="77">
        <f t="shared" si="35"/>
        <v>0.1146135647339156</v>
      </c>
      <c r="Z67" s="77">
        <f t="shared" si="36"/>
        <v>6.4159274343605105E-2</v>
      </c>
      <c r="AA67" s="77">
        <f t="shared" si="39"/>
        <v>9.0893827599332927E-2</v>
      </c>
      <c r="AB67" s="77">
        <v>0</v>
      </c>
      <c r="AD67" s="78"/>
      <c r="AE67" s="83"/>
      <c r="AF67" s="77"/>
      <c r="AG67" s="77"/>
      <c r="AH67" s="77"/>
      <c r="AI67" s="77"/>
      <c r="AJ67" s="77"/>
      <c r="AK67" s="77"/>
      <c r="AL67" s="77"/>
      <c r="AM67" s="77"/>
      <c r="AW67" s="24" t="s">
        <v>84</v>
      </c>
      <c r="AX67" s="79" t="s">
        <v>204</v>
      </c>
      <c r="AY67" s="85">
        <v>2477118.5832760301</v>
      </c>
      <c r="AZ67" s="85">
        <v>875120.57656881504</v>
      </c>
      <c r="BA67" s="10">
        <v>0</v>
      </c>
      <c r="BC67" s="57" t="s">
        <v>204</v>
      </c>
      <c r="BD67" s="85">
        <f t="shared" si="21"/>
        <v>1832240.5062734517</v>
      </c>
      <c r="BE67" s="85">
        <f t="shared" si="22"/>
        <v>647296.97604633705</v>
      </c>
      <c r="BF67" s="85">
        <f t="shared" si="23"/>
        <v>0</v>
      </c>
    </row>
    <row r="68" spans="1:58" ht="16" x14ac:dyDescent="0.2">
      <c r="A68" s="24" t="s">
        <v>85</v>
      </c>
      <c r="B68" s="72" t="s">
        <v>204</v>
      </c>
      <c r="C68" s="53">
        <v>7148.9111081364399</v>
      </c>
      <c r="D68" s="73">
        <v>0</v>
      </c>
      <c r="E68" s="73">
        <v>14019.843606423099</v>
      </c>
      <c r="F68" s="73">
        <v>0</v>
      </c>
      <c r="G68" s="53">
        <v>0</v>
      </c>
      <c r="H68" s="53">
        <v>1352.41828737632</v>
      </c>
      <c r="I68" s="53">
        <v>9248.9646740828703</v>
      </c>
      <c r="J68" s="53">
        <v>33225.673452893301</v>
      </c>
      <c r="K68" s="53">
        <v>4197.3278881262804</v>
      </c>
      <c r="S68" s="24" t="s">
        <v>85</v>
      </c>
      <c r="T68" s="72" t="s">
        <v>204</v>
      </c>
      <c r="U68" s="77">
        <f t="shared" si="37"/>
        <v>5.6895175139773824E-2</v>
      </c>
      <c r="V68" s="77">
        <f t="shared" ref="V68:V74" si="40">(D68-$O$12)/$O$11</f>
        <v>5.6194924547359804E-2</v>
      </c>
      <c r="W68" s="77">
        <f t="shared" ref="W68:W74" si="41">(F68-$O$4)/$O$3</f>
        <v>2.1354066497828408E-2</v>
      </c>
      <c r="X68" s="77">
        <f t="shared" ref="X68:X74" si="42">(G68-$O$8)/$O$7</f>
        <v>0.92069000746268481</v>
      </c>
      <c r="Y68" s="77">
        <f t="shared" ref="Y68:Y74" si="43">(H68-$P$8)/$P$7</f>
        <v>0.11376072148561871</v>
      </c>
      <c r="Z68" s="77">
        <f t="shared" ref="Z68:Z74" si="44">(I68-$P$4)/$P$3</f>
        <v>6.6374960565589586E-2</v>
      </c>
      <c r="AA68" s="77">
        <f t="shared" ref="AA68:AA74" si="45">(J68-$Q$4)/$Q$3</f>
        <v>9.2385415008936628E-2</v>
      </c>
      <c r="AB68" s="77">
        <v>0</v>
      </c>
      <c r="AD68" s="78"/>
      <c r="AE68" s="83"/>
      <c r="AF68" s="77"/>
      <c r="AG68" s="77"/>
      <c r="AH68" s="77"/>
      <c r="AI68" s="77"/>
      <c r="AJ68" s="77"/>
      <c r="AK68" s="77"/>
      <c r="AL68" s="77"/>
      <c r="AM68" s="77"/>
      <c r="AW68" s="24" t="s">
        <v>85</v>
      </c>
      <c r="AX68" s="79" t="s">
        <v>204</v>
      </c>
      <c r="AY68" s="85">
        <v>2293577.3888983699</v>
      </c>
      <c r="AZ68" s="85">
        <v>755056.10323487897</v>
      </c>
      <c r="BA68" s="10">
        <v>0</v>
      </c>
      <c r="BC68" s="57" t="s">
        <v>204</v>
      </c>
      <c r="BD68" s="85">
        <f t="shared" si="21"/>
        <v>1830235.0838662756</v>
      </c>
      <c r="BE68" s="85">
        <f t="shared" si="22"/>
        <v>602521.71002243273</v>
      </c>
      <c r="BF68" s="85">
        <f t="shared" si="23"/>
        <v>0</v>
      </c>
    </row>
    <row r="69" spans="1:58" ht="16" x14ac:dyDescent="0.2">
      <c r="A69" s="24" t="s">
        <v>86</v>
      </c>
      <c r="B69" s="72" t="s">
        <v>196</v>
      </c>
      <c r="C69" s="53">
        <v>9581.5192861158503</v>
      </c>
      <c r="D69" s="73">
        <v>0</v>
      </c>
      <c r="E69" s="73">
        <v>27189.267911029201</v>
      </c>
      <c r="F69" s="73">
        <v>0</v>
      </c>
      <c r="G69" s="53">
        <v>0</v>
      </c>
      <c r="H69" s="53">
        <v>1989.04327822699</v>
      </c>
      <c r="I69" s="53">
        <v>5654.1518492212999</v>
      </c>
      <c r="J69" s="53">
        <v>4118.9274490622402</v>
      </c>
      <c r="K69" s="53">
        <v>0</v>
      </c>
      <c r="S69" s="24" t="s">
        <v>86</v>
      </c>
      <c r="T69" s="72" t="s">
        <v>196</v>
      </c>
      <c r="U69" s="77">
        <f t="shared" si="37"/>
        <v>5.711450418149689E-2</v>
      </c>
      <c r="V69" s="77">
        <f t="shared" si="40"/>
        <v>5.6194924547359804E-2</v>
      </c>
      <c r="W69" s="77">
        <f t="shared" si="41"/>
        <v>2.1354066497828408E-2</v>
      </c>
      <c r="X69" s="77">
        <f t="shared" si="42"/>
        <v>0.92069000746268481</v>
      </c>
      <c r="Y69" s="77">
        <f t="shared" si="43"/>
        <v>0.11388715272913699</v>
      </c>
      <c r="Z69" s="77">
        <f t="shared" si="44"/>
        <v>6.4504679236180099E-2</v>
      </c>
      <c r="AA69" s="77">
        <f t="shared" si="45"/>
        <v>9.0883119964257977E-2</v>
      </c>
      <c r="AB69" s="77">
        <v>0</v>
      </c>
      <c r="AD69" s="78"/>
      <c r="AE69" s="83"/>
      <c r="AF69" s="77"/>
      <c r="AG69" s="77"/>
      <c r="AH69" s="77"/>
      <c r="AI69" s="77"/>
      <c r="AJ69" s="77"/>
      <c r="AK69" s="77"/>
      <c r="AL69" s="77"/>
      <c r="AM69" s="77"/>
      <c r="AW69" s="24" t="s">
        <v>86</v>
      </c>
      <c r="AX69" s="79" t="s">
        <v>196</v>
      </c>
      <c r="AY69" s="87">
        <v>233895484.62781</v>
      </c>
      <c r="AZ69" s="85">
        <v>442165.01442194899</v>
      </c>
      <c r="BA69" s="10">
        <v>8951599.3603095207</v>
      </c>
      <c r="BC69" s="57" t="s">
        <v>196</v>
      </c>
      <c r="BD69" s="85">
        <f t="shared" si="21"/>
        <v>191735363.85676777</v>
      </c>
      <c r="BE69" s="85">
        <f t="shared" si="22"/>
        <v>362463.90160045546</v>
      </c>
      <c r="BF69" s="85">
        <f t="shared" si="23"/>
        <v>7338055.9833384845</v>
      </c>
    </row>
    <row r="70" spans="1:58" ht="16" x14ac:dyDescent="0.2">
      <c r="A70" s="24" t="s">
        <v>87</v>
      </c>
      <c r="B70" s="72" t="s">
        <v>196</v>
      </c>
      <c r="C70" s="53">
        <v>10108.897414680399</v>
      </c>
      <c r="D70" s="73">
        <v>0</v>
      </c>
      <c r="E70" s="73">
        <v>28584.092759929899</v>
      </c>
      <c r="F70" s="73">
        <v>0</v>
      </c>
      <c r="G70" s="53">
        <v>0</v>
      </c>
      <c r="H70" s="53">
        <v>1760.55293660589</v>
      </c>
      <c r="I70" s="53">
        <v>3518.3300506709502</v>
      </c>
      <c r="J70" s="53">
        <v>15055.203179571299</v>
      </c>
      <c r="K70" s="53">
        <v>2902.6020231570701</v>
      </c>
      <c r="S70" s="24" t="s">
        <v>87</v>
      </c>
      <c r="T70" s="72" t="s">
        <v>196</v>
      </c>
      <c r="U70" s="77">
        <f t="shared" si="37"/>
        <v>5.7162053696708931E-2</v>
      </c>
      <c r="V70" s="77">
        <f t="shared" si="40"/>
        <v>5.6194924547359804E-2</v>
      </c>
      <c r="W70" s="77">
        <f t="shared" si="41"/>
        <v>2.1354066497828408E-2</v>
      </c>
      <c r="X70" s="77">
        <f t="shared" si="42"/>
        <v>0.92069000746268481</v>
      </c>
      <c r="Y70" s="77">
        <f t="shared" si="43"/>
        <v>0.11384177543726463</v>
      </c>
      <c r="Z70" s="77">
        <f t="shared" si="44"/>
        <v>6.339347043967529E-2</v>
      </c>
      <c r="AA70" s="77">
        <f t="shared" si="45"/>
        <v>9.1447577180980885E-2</v>
      </c>
      <c r="AB70" s="77">
        <v>0</v>
      </c>
      <c r="AD70" s="78"/>
      <c r="AE70" s="83"/>
      <c r="AF70" s="77"/>
      <c r="AG70" s="77"/>
      <c r="AH70" s="77"/>
      <c r="AI70" s="77"/>
      <c r="AJ70" s="77"/>
      <c r="AK70" s="77"/>
      <c r="AL70" s="77"/>
      <c r="AM70" s="77"/>
      <c r="AW70" s="24" t="s">
        <v>87</v>
      </c>
      <c r="AX70" s="79" t="s">
        <v>196</v>
      </c>
      <c r="AY70" s="87">
        <v>219306764.72453201</v>
      </c>
      <c r="AZ70" s="85">
        <v>838295.14100101194</v>
      </c>
      <c r="BA70" s="10">
        <v>8900100.3365591597</v>
      </c>
      <c r="BC70" s="57" t="s">
        <v>196</v>
      </c>
      <c r="BD70" s="85">
        <f t="shared" si="21"/>
        <v>200741546.74450219</v>
      </c>
      <c r="BE70" s="85">
        <f t="shared" si="22"/>
        <v>767330.01576270827</v>
      </c>
      <c r="BF70" s="85">
        <f t="shared" si="23"/>
        <v>8146670.3044308601</v>
      </c>
    </row>
    <row r="71" spans="1:58" ht="16" x14ac:dyDescent="0.2">
      <c r="A71" s="24" t="s">
        <v>88</v>
      </c>
      <c r="B71" s="72" t="s">
        <v>196</v>
      </c>
      <c r="C71" s="53">
        <v>9450.9743290736606</v>
      </c>
      <c r="D71" s="73">
        <v>0</v>
      </c>
      <c r="E71" s="73">
        <v>19240.333998685401</v>
      </c>
      <c r="F71" s="73">
        <v>0</v>
      </c>
      <c r="G71" s="53">
        <v>0</v>
      </c>
      <c r="H71" s="53">
        <v>2015.60593434526</v>
      </c>
      <c r="I71" s="53">
        <v>360.93442674905901</v>
      </c>
      <c r="J71" s="53">
        <v>18372.360753546302</v>
      </c>
      <c r="K71" s="53">
        <v>0</v>
      </c>
      <c r="S71" s="24" t="s">
        <v>88</v>
      </c>
      <c r="T71" s="72" t="s">
        <v>196</v>
      </c>
      <c r="U71" s="77">
        <f t="shared" si="37"/>
        <v>5.7102733975103181E-2</v>
      </c>
      <c r="V71" s="77">
        <f t="shared" si="40"/>
        <v>5.6194924547359804E-2</v>
      </c>
      <c r="W71" s="77">
        <f t="shared" si="41"/>
        <v>2.1354066497828408E-2</v>
      </c>
      <c r="X71" s="77">
        <f t="shared" si="42"/>
        <v>0.92069000746268481</v>
      </c>
      <c r="Y71" s="77">
        <f t="shared" si="43"/>
        <v>0.11389242796918012</v>
      </c>
      <c r="Z71" s="77">
        <f t="shared" si="44"/>
        <v>6.1750765138264288E-2</v>
      </c>
      <c r="AA71" s="77">
        <f t="shared" si="45"/>
        <v>9.1618786610751735E-2</v>
      </c>
      <c r="AB71" s="77">
        <v>0</v>
      </c>
      <c r="AD71" s="78"/>
      <c r="AE71" s="83"/>
      <c r="AF71" s="77"/>
      <c r="AG71" s="77"/>
      <c r="AH71" s="77"/>
      <c r="AI71" s="77"/>
      <c r="AJ71" s="77"/>
      <c r="AK71" s="77"/>
      <c r="AL71" s="77"/>
      <c r="AM71" s="77"/>
      <c r="AW71" s="24" t="s">
        <v>88</v>
      </c>
      <c r="AX71" s="79" t="s">
        <v>196</v>
      </c>
      <c r="AY71" s="87">
        <v>256746834.95173299</v>
      </c>
      <c r="AZ71" s="85">
        <v>710605.64864328399</v>
      </c>
      <c r="BA71" s="10">
        <v>8839663.7435426097</v>
      </c>
      <c r="BC71" s="57" t="s">
        <v>196</v>
      </c>
      <c r="BD71" s="85">
        <f t="shared" si="21"/>
        <v>221927291.46865067</v>
      </c>
      <c r="BE71" s="85">
        <f t="shared" si="22"/>
        <v>614234.59002084646</v>
      </c>
      <c r="BF71" s="85">
        <f t="shared" si="23"/>
        <v>7640844.4624715438</v>
      </c>
    </row>
    <row r="72" spans="1:58" ht="16" x14ac:dyDescent="0.2">
      <c r="A72" s="24" t="s">
        <v>89</v>
      </c>
      <c r="B72" s="72" t="s">
        <v>200</v>
      </c>
      <c r="C72" s="53">
        <v>6536.6504269083198</v>
      </c>
      <c r="D72" s="73">
        <v>0</v>
      </c>
      <c r="E72" s="73">
        <v>6795.9220246506602</v>
      </c>
      <c r="F72" s="73">
        <v>1350.5100794166899</v>
      </c>
      <c r="G72" s="53">
        <v>0</v>
      </c>
      <c r="H72" s="53">
        <v>19993.6785738076</v>
      </c>
      <c r="I72" s="53">
        <v>77629.835484703493</v>
      </c>
      <c r="J72" s="53">
        <v>67138.912233483905</v>
      </c>
      <c r="K72" s="53">
        <v>0</v>
      </c>
      <c r="S72" s="24" t="s">
        <v>89</v>
      </c>
      <c r="T72" s="72" t="s">
        <v>200</v>
      </c>
      <c r="U72" s="77">
        <f t="shared" si="37"/>
        <v>5.6839972436060968E-2</v>
      </c>
      <c r="V72" s="77">
        <f t="shared" si="40"/>
        <v>5.6194924547359804E-2</v>
      </c>
      <c r="W72" s="77">
        <f t="shared" si="41"/>
        <v>2.1465542829120891E-2</v>
      </c>
      <c r="X72" s="77">
        <f t="shared" si="42"/>
        <v>0.92069000746268481</v>
      </c>
      <c r="Y72" s="77">
        <f t="shared" si="43"/>
        <v>0.11746280317049303</v>
      </c>
      <c r="Z72" s="77">
        <f t="shared" si="44"/>
        <v>0.10195162955969521</v>
      </c>
      <c r="AA72" s="77">
        <f t="shared" si="45"/>
        <v>9.4135788979368751E-2</v>
      </c>
      <c r="AB72" s="77">
        <v>0</v>
      </c>
      <c r="AD72" s="78"/>
      <c r="AE72" s="83"/>
      <c r="AF72" s="77"/>
      <c r="AG72" s="77"/>
      <c r="AH72" s="77"/>
      <c r="AI72" s="77"/>
      <c r="AJ72" s="77"/>
      <c r="AK72" s="77"/>
      <c r="AL72" s="77"/>
      <c r="AM72" s="77"/>
      <c r="AW72" s="24" t="s">
        <v>89</v>
      </c>
      <c r="AX72" s="79" t="s">
        <v>200</v>
      </c>
      <c r="AY72" s="87">
        <v>75575684.299948603</v>
      </c>
      <c r="AZ72" s="87">
        <v>395873958.06886798</v>
      </c>
      <c r="BA72" s="89">
        <v>41317270.297263101</v>
      </c>
      <c r="BC72" s="57" t="s">
        <v>200</v>
      </c>
      <c r="BD72" s="85">
        <f t="shared" si="21"/>
        <v>66654243.918421537</v>
      </c>
      <c r="BE72" s="85">
        <f t="shared" si="22"/>
        <v>349142447.15732265</v>
      </c>
      <c r="BF72" s="85">
        <f t="shared" si="23"/>
        <v>36439913.68317654</v>
      </c>
    </row>
    <row r="73" spans="1:58" ht="16" x14ac:dyDescent="0.2">
      <c r="A73" s="24" t="s">
        <v>90</v>
      </c>
      <c r="B73" s="72" t="s">
        <v>200</v>
      </c>
      <c r="C73" s="53">
        <v>7860.5871593925103</v>
      </c>
      <c r="D73" s="73">
        <v>0</v>
      </c>
      <c r="E73" s="73">
        <v>7971.2464171747797</v>
      </c>
      <c r="F73" s="73">
        <v>2794.1945082341899</v>
      </c>
      <c r="G73" s="53">
        <v>0</v>
      </c>
      <c r="H73" s="53">
        <v>1754.80324951841</v>
      </c>
      <c r="I73" s="53">
        <v>4746.2250176013404</v>
      </c>
      <c r="J73" s="53">
        <v>15111.711581485801</v>
      </c>
      <c r="K73" s="53">
        <v>0</v>
      </c>
      <c r="S73" s="24" t="s">
        <v>90</v>
      </c>
      <c r="T73" s="72" t="s">
        <v>200</v>
      </c>
      <c r="U73" s="77">
        <f t="shared" si="37"/>
        <v>5.695934134120003E-2</v>
      </c>
      <c r="V73" s="77">
        <f t="shared" si="40"/>
        <v>5.6194924547359804E-2</v>
      </c>
      <c r="W73" s="77">
        <f t="shared" si="41"/>
        <v>2.15847101319952E-2</v>
      </c>
      <c r="X73" s="77">
        <f t="shared" si="42"/>
        <v>0.92069000746268481</v>
      </c>
      <c r="Y73" s="77">
        <f t="shared" si="43"/>
        <v>0.11384063357180418</v>
      </c>
      <c r="Z73" s="77">
        <f t="shared" si="44"/>
        <v>6.4032310107555404E-2</v>
      </c>
      <c r="AA73" s="77">
        <f t="shared" si="45"/>
        <v>9.1450493765753635E-2</v>
      </c>
      <c r="AB73" s="77">
        <v>0</v>
      </c>
      <c r="AD73" s="78"/>
      <c r="AE73" s="83"/>
      <c r="AF73" s="77"/>
      <c r="AG73" s="77"/>
      <c r="AH73" s="77"/>
      <c r="AI73" s="77"/>
      <c r="AJ73" s="77"/>
      <c r="AK73" s="77"/>
      <c r="AL73" s="77"/>
      <c r="AM73" s="77"/>
      <c r="AW73" s="24" t="s">
        <v>90</v>
      </c>
      <c r="AX73" s="79" t="s">
        <v>200</v>
      </c>
      <c r="AY73" s="87">
        <v>64398859.927354999</v>
      </c>
      <c r="AZ73" s="87">
        <v>436132862.397506</v>
      </c>
      <c r="BA73" s="89">
        <v>30993059.877703</v>
      </c>
      <c r="BC73" s="57" t="s">
        <v>200</v>
      </c>
      <c r="BD73" s="85">
        <f t="shared" si="21"/>
        <v>51809917.662206292</v>
      </c>
      <c r="BE73" s="85">
        <f t="shared" si="22"/>
        <v>350875896.1895678</v>
      </c>
      <c r="BF73" s="85">
        <f t="shared" si="23"/>
        <v>24934414.711300518</v>
      </c>
    </row>
    <row r="74" spans="1:58" ht="16" x14ac:dyDescent="0.2">
      <c r="A74" s="24" t="s">
        <v>91</v>
      </c>
      <c r="B74" s="72" t="s">
        <v>200</v>
      </c>
      <c r="C74" s="53">
        <v>10156.111903950899</v>
      </c>
      <c r="D74" s="73">
        <v>0</v>
      </c>
      <c r="E74" s="73">
        <v>6143.7390199511101</v>
      </c>
      <c r="F74" s="73">
        <v>0</v>
      </c>
      <c r="G74" s="53">
        <v>0</v>
      </c>
      <c r="H74" s="53">
        <v>969.03344572458502</v>
      </c>
      <c r="I74" s="53">
        <v>325.17211686944501</v>
      </c>
      <c r="J74" s="53">
        <v>10998.861025811</v>
      </c>
      <c r="K74" s="53">
        <v>0</v>
      </c>
      <c r="S74" s="24" t="s">
        <v>91</v>
      </c>
      <c r="T74" s="72" t="s">
        <v>200</v>
      </c>
      <c r="U74" s="77">
        <f t="shared" si="37"/>
        <v>5.7166310653822237E-2</v>
      </c>
      <c r="V74" s="77">
        <f t="shared" si="40"/>
        <v>5.6194924547359804E-2</v>
      </c>
      <c r="W74" s="77">
        <f t="shared" si="41"/>
        <v>2.1354066497828408E-2</v>
      </c>
      <c r="X74" s="77">
        <f t="shared" si="42"/>
        <v>0.92069000746268481</v>
      </c>
      <c r="Y74" s="77">
        <f t="shared" si="43"/>
        <v>0.11368458274935686</v>
      </c>
      <c r="Z74" s="77">
        <f t="shared" si="44"/>
        <v>6.1732159001109718E-2</v>
      </c>
      <c r="AA74" s="77">
        <f t="shared" si="45"/>
        <v>9.1238216000026018E-2</v>
      </c>
      <c r="AB74" s="77">
        <v>0</v>
      </c>
      <c r="AD74" s="78"/>
      <c r="AE74" s="83"/>
      <c r="AF74" s="77"/>
      <c r="AG74" s="77"/>
      <c r="AH74" s="77"/>
      <c r="AI74" s="77"/>
      <c r="AJ74" s="77"/>
      <c r="AK74" s="77"/>
      <c r="AL74" s="77"/>
      <c r="AM74" s="77"/>
      <c r="AW74" s="24" t="s">
        <v>91</v>
      </c>
      <c r="AX74" s="79" t="s">
        <v>200</v>
      </c>
      <c r="AY74" s="87">
        <v>72326191.659027994</v>
      </c>
      <c r="AZ74" s="87">
        <v>470360367.209216</v>
      </c>
      <c r="BA74" s="89">
        <v>33646815.460713603</v>
      </c>
      <c r="BC74" s="57" t="s">
        <v>200</v>
      </c>
      <c r="BD74" s="85">
        <f t="shared" si="21"/>
        <v>53715350.149042025</v>
      </c>
      <c r="BE74" s="85">
        <f t="shared" si="22"/>
        <v>349328109.79438996</v>
      </c>
      <c r="BF74" s="85">
        <f t="shared" si="23"/>
        <v>24988879.303820398</v>
      </c>
    </row>
    <row r="75" spans="1:58" x14ac:dyDescent="0.2">
      <c r="I75">
        <v>10160.891131738101</v>
      </c>
      <c r="J75">
        <v>3758.2849830447999</v>
      </c>
    </row>
  </sheetData>
  <phoneticPr fontId="19" type="noConversion"/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ABED-3087-4F1A-A4F6-933E4B41CE81}">
  <dimension ref="A1:K56"/>
  <sheetViews>
    <sheetView zoomScale="75" workbookViewId="0">
      <selection activeCell="D16" sqref="D16"/>
    </sheetView>
  </sheetViews>
  <sheetFormatPr baseColWidth="10" defaultColWidth="8.83203125" defaultRowHeight="15" x14ac:dyDescent="0.2"/>
  <cols>
    <col min="1" max="1" width="9.83203125" bestFit="1" customWidth="1"/>
    <col min="2" max="4" width="15.33203125" bestFit="1" customWidth="1"/>
    <col min="5" max="5" width="14.33203125" bestFit="1" customWidth="1"/>
    <col min="6" max="7" width="15.33203125" bestFit="1" customWidth="1"/>
    <col min="8" max="8" width="13.33203125" bestFit="1" customWidth="1"/>
    <col min="9" max="10" width="14.33203125" bestFit="1" customWidth="1"/>
    <col min="11" max="11" width="15.33203125" bestFit="1" customWidth="1"/>
  </cols>
  <sheetData>
    <row r="1" spans="1:11" x14ac:dyDescent="0.2">
      <c r="A1" s="1"/>
      <c r="B1" s="1" t="s">
        <v>4</v>
      </c>
      <c r="C1" s="1" t="s">
        <v>8</v>
      </c>
      <c r="D1" s="1" t="s">
        <v>11</v>
      </c>
      <c r="E1" s="1" t="s">
        <v>12</v>
      </c>
      <c r="F1" s="1" t="s">
        <v>100</v>
      </c>
    </row>
    <row r="2" spans="1:11" x14ac:dyDescent="0.2">
      <c r="A2" s="4" t="s">
        <v>101</v>
      </c>
      <c r="B2" s="55">
        <v>110571155.943757</v>
      </c>
      <c r="C2" s="9">
        <v>120320450.77139901</v>
      </c>
      <c r="D2" s="9">
        <v>19225311.576235101</v>
      </c>
      <c r="E2" s="9">
        <v>190312549.31485501</v>
      </c>
      <c r="F2" s="54">
        <v>10</v>
      </c>
      <c r="H2" s="3"/>
      <c r="I2" s="3"/>
    </row>
    <row r="3" spans="1:11" x14ac:dyDescent="0.2">
      <c r="A3" s="4" t="s">
        <v>102</v>
      </c>
      <c r="B3" s="55">
        <v>43465272.114927702</v>
      </c>
      <c r="C3" s="9">
        <v>50040824.217438102</v>
      </c>
      <c r="D3" s="9">
        <v>7360216.9541136604</v>
      </c>
      <c r="E3" s="9">
        <v>82101455.615127102</v>
      </c>
      <c r="F3" s="54">
        <v>4</v>
      </c>
      <c r="H3" s="3"/>
      <c r="I3" s="3"/>
    </row>
    <row r="4" spans="1:11" x14ac:dyDescent="0.2">
      <c r="A4" s="4" t="s">
        <v>103</v>
      </c>
      <c r="B4" s="55">
        <v>16154460.461824499</v>
      </c>
      <c r="C4" s="9">
        <v>18315503.365277398</v>
      </c>
      <c r="D4" s="9">
        <v>2709344.1717232699</v>
      </c>
      <c r="E4" s="9">
        <v>24842956.2583589</v>
      </c>
      <c r="F4" s="54">
        <v>1.6</v>
      </c>
      <c r="H4" s="3"/>
      <c r="I4" s="3"/>
    </row>
    <row r="5" spans="1:11" x14ac:dyDescent="0.2">
      <c r="A5" s="4" t="s">
        <v>104</v>
      </c>
      <c r="B5" s="55">
        <v>5616541.9725838602</v>
      </c>
      <c r="C5" s="9">
        <v>6485863.4648048496</v>
      </c>
      <c r="D5" s="9">
        <v>1004754.53217021</v>
      </c>
      <c r="E5" s="9">
        <v>7506536.6186849996</v>
      </c>
      <c r="F5" s="54">
        <v>0.6</v>
      </c>
      <c r="H5" s="3"/>
      <c r="I5" s="3"/>
    </row>
    <row r="6" spans="1:11" x14ac:dyDescent="0.2">
      <c r="A6" s="4" t="s">
        <v>105</v>
      </c>
      <c r="B6" s="55">
        <v>2235946.0848482498</v>
      </c>
      <c r="C6" s="9">
        <v>2577287.0212299898</v>
      </c>
      <c r="D6" s="9">
        <v>401645.95576535701</v>
      </c>
      <c r="E6" s="9">
        <v>1958074.1344059601</v>
      </c>
      <c r="F6" s="54">
        <v>0.26</v>
      </c>
      <c r="H6" s="3"/>
      <c r="I6" s="3"/>
    </row>
    <row r="7" spans="1:11" x14ac:dyDescent="0.2">
      <c r="A7" s="4" t="s">
        <v>106</v>
      </c>
      <c r="B7" s="55">
        <v>853249.36152144196</v>
      </c>
      <c r="C7" s="9">
        <v>1007248.0871183299</v>
      </c>
      <c r="D7" s="9">
        <v>193077.05351783801</v>
      </c>
      <c r="E7" s="9">
        <v>1013129.28384385</v>
      </c>
      <c r="F7" s="54">
        <v>0.1</v>
      </c>
      <c r="H7" s="3"/>
      <c r="I7" s="3"/>
    </row>
    <row r="8" spans="1:11" x14ac:dyDescent="0.2">
      <c r="A8" s="4" t="s">
        <v>107</v>
      </c>
      <c r="B8" s="55">
        <v>322991.19352844497</v>
      </c>
      <c r="C8" s="9">
        <v>379917.791217377</v>
      </c>
      <c r="D8" s="9">
        <v>70977.886720477996</v>
      </c>
      <c r="E8" s="9">
        <v>207597.16730308099</v>
      </c>
      <c r="F8" s="54">
        <v>0.04</v>
      </c>
      <c r="H8" s="3"/>
      <c r="I8" s="3"/>
    </row>
    <row r="9" spans="1:11" x14ac:dyDescent="0.2">
      <c r="A9" s="4" t="s">
        <v>108</v>
      </c>
      <c r="B9" s="55">
        <v>123993.60327613501</v>
      </c>
      <c r="C9" s="9">
        <v>150780.737295256</v>
      </c>
      <c r="D9" s="9">
        <v>32858.660801024103</v>
      </c>
      <c r="E9" s="9">
        <v>13936.879647821899</v>
      </c>
      <c r="F9" s="54">
        <v>0.02</v>
      </c>
      <c r="H9" s="3"/>
      <c r="I9" s="3"/>
    </row>
    <row r="10" spans="1:11" x14ac:dyDescent="0.2">
      <c r="A10" s="14"/>
      <c r="B10" s="1" t="s">
        <v>4</v>
      </c>
      <c r="C10" s="1" t="s">
        <v>8</v>
      </c>
      <c r="D10" s="1" t="s">
        <v>11</v>
      </c>
      <c r="E10" s="1" t="s">
        <v>12</v>
      </c>
    </row>
    <row r="11" spans="1:11" x14ac:dyDescent="0.2">
      <c r="A11" s="4" t="s">
        <v>109</v>
      </c>
      <c r="B11" s="31">
        <f>SLOPE(B2:B9,F2:F9)</f>
        <v>11091135.760539191</v>
      </c>
      <c r="C11" s="31">
        <f>SLOPE(C2:C9,F2:F9)</f>
        <v>12114769.68930145</v>
      </c>
      <c r="D11" s="31">
        <f>SLOPE(D2:D9,F2:F9)</f>
        <v>1922070.6362911612</v>
      </c>
      <c r="E11" s="31">
        <f>SLOPE(E2:E9,F2:F9)</f>
        <v>19374853.23334552</v>
      </c>
      <c r="F11" s="7"/>
    </row>
    <row r="12" spans="1:11" x14ac:dyDescent="0.2">
      <c r="A12" s="4" t="s">
        <v>110</v>
      </c>
      <c r="B12" s="32">
        <f>INTERCEPT(B2:B9,F2:F9)</f>
        <v>-623883.20048674941</v>
      </c>
      <c r="C12" s="32">
        <f>INTERCEPT(C2:C9,F2:F9)</f>
        <v>-258699.59755121917</v>
      </c>
      <c r="D12" s="32">
        <f>INTERCEPT(D2:D9,F2:F9)</f>
        <v>-118328.39801402064</v>
      </c>
      <c r="E12" s="32">
        <f>INTERCEPT(E2:E9,F2:F9)</f>
        <v>-1756728.1832469702</v>
      </c>
      <c r="F12" s="8"/>
    </row>
    <row r="13" spans="1:11" x14ac:dyDescent="0.2">
      <c r="A13" s="4" t="s">
        <v>111</v>
      </c>
      <c r="B13" s="33">
        <f>RSQ(B2:B9,F2:F9)</f>
        <v>0.99981430800513882</v>
      </c>
      <c r="C13" s="33">
        <f>RSQ(C2:C9,F2:F9)</f>
        <v>0.99961348928717009</v>
      </c>
      <c r="D13" s="33">
        <f>RSQ(D2:D9,F2:F9)</f>
        <v>0.99948337282304689</v>
      </c>
      <c r="E13" s="33">
        <f>RSQ(E2:E9,F2:F9)</f>
        <v>0.99767293316023098</v>
      </c>
    </row>
    <row r="15" spans="1:11" x14ac:dyDescent="0.2">
      <c r="B15" s="11" t="s">
        <v>5</v>
      </c>
      <c r="C15" s="11" t="s">
        <v>9</v>
      </c>
      <c r="D15" s="11" t="s">
        <v>10</v>
      </c>
      <c r="F15" s="11" t="s">
        <v>100</v>
      </c>
    </row>
    <row r="16" spans="1:11" x14ac:dyDescent="0.2">
      <c r="A16" s="5" t="s">
        <v>112</v>
      </c>
      <c r="B16" s="12">
        <v>119690094.94887599</v>
      </c>
      <c r="C16" s="12">
        <v>6644094.8050979702</v>
      </c>
      <c r="D16" s="12">
        <v>50583365.1093335</v>
      </c>
      <c r="E16" s="12"/>
      <c r="F16" s="10">
        <v>10</v>
      </c>
      <c r="G16" s="6"/>
      <c r="J16" s="6"/>
      <c r="K16" s="6"/>
    </row>
    <row r="17" spans="1:11" x14ac:dyDescent="0.2">
      <c r="A17" s="5" t="s">
        <v>113</v>
      </c>
      <c r="B17" s="12">
        <v>44822507.855595</v>
      </c>
      <c r="C17" s="12">
        <v>2060724.1324644501</v>
      </c>
      <c r="D17" s="12">
        <v>18015933.4378503</v>
      </c>
      <c r="E17" s="12"/>
      <c r="F17" s="10">
        <v>4</v>
      </c>
      <c r="G17" s="6"/>
      <c r="J17" s="6"/>
      <c r="K17" s="6"/>
    </row>
    <row r="18" spans="1:11" x14ac:dyDescent="0.2">
      <c r="A18" s="5" t="s">
        <v>114</v>
      </c>
      <c r="B18" s="12">
        <v>17420660.6806692</v>
      </c>
      <c r="C18" s="12">
        <v>267015.86602061603</v>
      </c>
      <c r="D18" s="12">
        <v>6269493.0846112398</v>
      </c>
      <c r="E18" s="12"/>
      <c r="F18" s="10">
        <v>1.6</v>
      </c>
      <c r="G18" s="6"/>
      <c r="J18" s="6"/>
      <c r="K18" s="6"/>
    </row>
    <row r="19" spans="1:11" x14ac:dyDescent="0.2">
      <c r="A19" s="5" t="s">
        <v>115</v>
      </c>
      <c r="B19" s="12">
        <v>6766744.2686580904</v>
      </c>
      <c r="C19" s="12">
        <v>73260.218238835296</v>
      </c>
      <c r="D19" s="12">
        <v>2426024.0213434799</v>
      </c>
      <c r="E19" s="12"/>
      <c r="F19" s="10">
        <v>0.6</v>
      </c>
      <c r="G19" s="6"/>
      <c r="J19" s="6"/>
      <c r="K19" s="6"/>
    </row>
    <row r="20" spans="1:11" x14ac:dyDescent="0.2">
      <c r="A20" s="5" t="s">
        <v>116</v>
      </c>
      <c r="B20" s="12">
        <v>3125111.3946385402</v>
      </c>
      <c r="C20" s="12"/>
      <c r="D20" s="12">
        <v>1038439.77164102</v>
      </c>
      <c r="E20" s="12"/>
      <c r="F20" s="10">
        <v>0.26</v>
      </c>
      <c r="G20" s="6"/>
      <c r="J20" s="6"/>
      <c r="K20" s="6"/>
    </row>
    <row r="21" spans="1:11" x14ac:dyDescent="0.2">
      <c r="A21" s="5" t="s">
        <v>117</v>
      </c>
      <c r="B21" s="12">
        <v>1110701.2605138901</v>
      </c>
      <c r="C21" s="12"/>
      <c r="D21" s="12">
        <v>405037.619952521</v>
      </c>
      <c r="E21" s="12"/>
      <c r="F21" s="10">
        <v>0.1</v>
      </c>
      <c r="G21" s="6"/>
      <c r="J21" s="6"/>
      <c r="K21" s="6"/>
    </row>
    <row r="22" spans="1:11" x14ac:dyDescent="0.2">
      <c r="A22" s="5" t="s">
        <v>118</v>
      </c>
      <c r="B22" s="12">
        <v>454347.19641466398</v>
      </c>
      <c r="C22" s="12"/>
      <c r="D22" s="12">
        <v>199896.11994365399</v>
      </c>
      <c r="E22" s="12"/>
      <c r="F22" s="10">
        <v>0.04</v>
      </c>
      <c r="G22" s="6"/>
      <c r="J22" s="6"/>
      <c r="K22" s="6"/>
    </row>
    <row r="23" spans="1:11" x14ac:dyDescent="0.2">
      <c r="A23" s="5" t="s">
        <v>119</v>
      </c>
      <c r="B23" s="12">
        <v>164566.428940096</v>
      </c>
      <c r="C23" s="12"/>
      <c r="D23" s="12">
        <v>177475.81491063201</v>
      </c>
      <c r="E23" s="12"/>
      <c r="F23" s="10">
        <v>0.02</v>
      </c>
      <c r="G23" s="6"/>
      <c r="J23" s="6"/>
      <c r="K23" s="6"/>
    </row>
    <row r="24" spans="1:11" x14ac:dyDescent="0.2">
      <c r="A24" s="14"/>
      <c r="B24" s="1" t="s">
        <v>5</v>
      </c>
      <c r="C24" s="1" t="s">
        <v>9</v>
      </c>
      <c r="D24" s="1" t="s">
        <v>10</v>
      </c>
    </row>
    <row r="25" spans="1:11" x14ac:dyDescent="0.2">
      <c r="A25" s="5" t="s">
        <v>109</v>
      </c>
      <c r="B25" s="28">
        <f>SLOPE(B16:B23,F16:F23)</f>
        <v>11920690.326035555</v>
      </c>
      <c r="C25" s="28">
        <f>SLOPE(C16:C23,F16:F23)</f>
        <v>722610.97840996459</v>
      </c>
      <c r="D25" s="28">
        <f>SLOPE(D16:D23,F16:F23)</f>
        <v>5035345.4821362635</v>
      </c>
    </row>
    <row r="26" spans="1:11" x14ac:dyDescent="0.2">
      <c r="A26" s="5" t="s">
        <v>110</v>
      </c>
      <c r="B26" s="29">
        <f>INTERCEPT(B16:B23,F16:F23)</f>
        <v>-570892.39805068448</v>
      </c>
      <c r="C26" s="29">
        <f>INTERCEPT(C16:C23,F16:F23)</f>
        <v>-665300.70710488828</v>
      </c>
      <c r="D26" s="29">
        <f>INTERCEPT(D16:D23,F16:F23)</f>
        <v>-571472.11668979563</v>
      </c>
    </row>
    <row r="27" spans="1:11" x14ac:dyDescent="0.2">
      <c r="A27" s="5" t="s">
        <v>111</v>
      </c>
      <c r="B27" s="30">
        <f>RSQ(B16:B23,F16:F23)</f>
        <v>0.9992757675467886</v>
      </c>
      <c r="C27" s="30">
        <f>RSQ(C16:C23,F16:F23)</f>
        <v>0.99367792365185537</v>
      </c>
      <c r="D27" s="30">
        <f>RSQ(D16:D23,F16:F23)</f>
        <v>0.99739470192770885</v>
      </c>
    </row>
    <row r="29" spans="1:11" x14ac:dyDescent="0.2">
      <c r="B29" s="11" t="s">
        <v>3</v>
      </c>
      <c r="C29" s="11" t="s">
        <v>6</v>
      </c>
      <c r="D29" s="11" t="s">
        <v>7</v>
      </c>
      <c r="F29" s="11" t="s">
        <v>100</v>
      </c>
    </row>
    <row r="30" spans="1:11" x14ac:dyDescent="0.2">
      <c r="A30" s="1" t="s">
        <v>120</v>
      </c>
      <c r="B30" s="13">
        <v>199032299.90395901</v>
      </c>
      <c r="C30" s="13">
        <v>97737040.465929106</v>
      </c>
      <c r="D30" s="68">
        <v>202440771.37304401</v>
      </c>
      <c r="F30" s="67">
        <v>10</v>
      </c>
    </row>
    <row r="31" spans="1:11" x14ac:dyDescent="0.2">
      <c r="A31" s="1" t="s">
        <v>121</v>
      </c>
      <c r="B31" s="13">
        <v>95540660.830607697</v>
      </c>
      <c r="C31" s="13">
        <v>37796478.049966998</v>
      </c>
      <c r="D31" s="68">
        <v>101374660.251012</v>
      </c>
      <c r="F31" s="67">
        <v>4</v>
      </c>
      <c r="G31" s="2"/>
      <c r="H31" s="2"/>
      <c r="I31" s="2"/>
      <c r="J31" s="2"/>
      <c r="K31" s="2"/>
    </row>
    <row r="32" spans="1:11" x14ac:dyDescent="0.2">
      <c r="A32" s="1" t="s">
        <v>122</v>
      </c>
      <c r="B32" s="13">
        <v>38342591.872291699</v>
      </c>
      <c r="C32" s="13">
        <v>13849365.203115899</v>
      </c>
      <c r="D32" s="68">
        <v>44612156.954010002</v>
      </c>
      <c r="F32" s="67">
        <v>1.6</v>
      </c>
      <c r="G32" s="2"/>
      <c r="H32" s="2"/>
      <c r="I32" s="2"/>
      <c r="J32" s="2"/>
      <c r="K32" s="2"/>
    </row>
    <row r="33" spans="1:6" x14ac:dyDescent="0.2">
      <c r="A33" s="1" t="s">
        <v>123</v>
      </c>
      <c r="B33" s="13">
        <v>15837757.1059983</v>
      </c>
      <c r="C33" s="13">
        <v>5392721.8642532397</v>
      </c>
      <c r="D33" s="68">
        <v>16771842.6959829</v>
      </c>
      <c r="F33" s="67">
        <v>0.6</v>
      </c>
    </row>
    <row r="34" spans="1:6" x14ac:dyDescent="0.2">
      <c r="A34" s="1" t="s">
        <v>124</v>
      </c>
      <c r="B34" s="13">
        <v>5851139.9404660296</v>
      </c>
      <c r="C34" s="13">
        <v>2047773.4268372201</v>
      </c>
      <c r="D34" s="68">
        <v>6480378.8379774299</v>
      </c>
      <c r="F34" s="67">
        <v>0.26</v>
      </c>
    </row>
    <row r="35" spans="1:6" x14ac:dyDescent="0.2">
      <c r="A35" s="1" t="s">
        <v>125</v>
      </c>
      <c r="B35" s="13">
        <v>2392651.3417074098</v>
      </c>
      <c r="C35" s="13">
        <v>829172.99167373299</v>
      </c>
      <c r="D35" s="68">
        <v>2619497.1919531999</v>
      </c>
      <c r="F35" s="67">
        <v>0.1</v>
      </c>
    </row>
    <row r="36" spans="1:6" x14ac:dyDescent="0.2">
      <c r="A36" s="1" t="s">
        <v>126</v>
      </c>
      <c r="B36" s="13">
        <v>1036053.10149591</v>
      </c>
      <c r="C36" s="13">
        <v>350678.01256098901</v>
      </c>
      <c r="D36" s="68">
        <v>1097809.6182416701</v>
      </c>
      <c r="F36" s="67">
        <v>0.04</v>
      </c>
    </row>
    <row r="37" spans="1:6" x14ac:dyDescent="0.2">
      <c r="A37" s="1" t="s">
        <v>127</v>
      </c>
      <c r="B37" s="13">
        <v>384513.70850452402</v>
      </c>
      <c r="C37" s="13">
        <v>130111.603928583</v>
      </c>
      <c r="D37" s="68">
        <v>493609.63983089302</v>
      </c>
      <c r="F37" s="67">
        <v>0.02</v>
      </c>
    </row>
    <row r="38" spans="1:6" x14ac:dyDescent="0.2">
      <c r="A38" s="14"/>
      <c r="B38" s="1" t="s">
        <v>3</v>
      </c>
      <c r="C38" s="1" t="s">
        <v>6</v>
      </c>
      <c r="D38" s="1" t="s">
        <v>7</v>
      </c>
    </row>
    <row r="39" spans="1:6" x14ac:dyDescent="0.2">
      <c r="A39" s="24" t="s">
        <v>109</v>
      </c>
      <c r="B39" s="25">
        <f>SLOPE(B30:B37,F30:F37)</f>
        <v>20131433.987813141</v>
      </c>
      <c r="C39" s="25">
        <f>SLOPE(C30:C37,F30:F37)</f>
        <v>9779160.969977174</v>
      </c>
      <c r="D39" s="25">
        <f>SLOPE(D30:D37,F30:F37)</f>
        <v>20509112.947973926</v>
      </c>
    </row>
    <row r="40" spans="1:6" x14ac:dyDescent="0.2">
      <c r="A40" s="24" t="s">
        <v>110</v>
      </c>
      <c r="B40" s="26">
        <f>INTERCEPT(B30:B37,F30:F37)</f>
        <v>2979154.3659470156</v>
      </c>
      <c r="C40" s="26">
        <f>INTERCEPT(C30:C37,F30:F37)</f>
        <v>-549539.21284435317</v>
      </c>
      <c r="D40" s="26">
        <f>INTERCEPT(D30:D37,F30:F37)</f>
        <v>4378658.6708406657</v>
      </c>
    </row>
    <row r="41" spans="1:6" x14ac:dyDescent="0.2">
      <c r="A41" s="24" t="s">
        <v>111</v>
      </c>
      <c r="B41" s="27">
        <f>RSQ(B30:B37,F30:F37)</f>
        <v>0.99384646802097798</v>
      </c>
      <c r="C41" s="27">
        <f>RSQ(C30:C37,F30:F37)</f>
        <v>0.99962154012210669</v>
      </c>
      <c r="D41" s="27">
        <f>RSQ(D30:D37,F30:F37)</f>
        <v>0.98918500636711659</v>
      </c>
    </row>
    <row r="44" spans="1:6" x14ac:dyDescent="0.2">
      <c r="B44" s="11" t="s">
        <v>93</v>
      </c>
      <c r="C44" s="1" t="s">
        <v>6</v>
      </c>
      <c r="D44" s="1" t="s">
        <v>7</v>
      </c>
      <c r="F44" s="11" t="s">
        <v>100</v>
      </c>
    </row>
    <row r="45" spans="1:6" x14ac:dyDescent="0.2">
      <c r="A45" s="52" t="s">
        <v>120</v>
      </c>
      <c r="B45" s="66">
        <v>4213004.7799907997</v>
      </c>
      <c r="C45" s="14"/>
      <c r="D45" s="14"/>
      <c r="F45" s="10">
        <v>10</v>
      </c>
    </row>
    <row r="46" spans="1:6" x14ac:dyDescent="0.2">
      <c r="A46" s="52" t="s">
        <v>121</v>
      </c>
      <c r="B46" s="66">
        <v>1780536.86297741</v>
      </c>
      <c r="C46" s="14"/>
      <c r="D46" s="14"/>
      <c r="F46" s="10">
        <v>4</v>
      </c>
    </row>
    <row r="47" spans="1:6" x14ac:dyDescent="0.2">
      <c r="A47" s="52" t="s">
        <v>122</v>
      </c>
      <c r="B47" s="66">
        <v>719251.55848373706</v>
      </c>
      <c r="C47" s="14"/>
      <c r="D47" s="14"/>
      <c r="F47" s="10">
        <v>1.6</v>
      </c>
    </row>
    <row r="48" spans="1:6" x14ac:dyDescent="0.2">
      <c r="A48" s="52" t="s">
        <v>123</v>
      </c>
      <c r="B48" s="66">
        <v>257169.83185596799</v>
      </c>
      <c r="C48" s="14"/>
      <c r="D48" s="14"/>
      <c r="F48" s="10">
        <v>0.6</v>
      </c>
    </row>
    <row r="49" spans="1:6" x14ac:dyDescent="0.2">
      <c r="A49" s="52" t="s">
        <v>124</v>
      </c>
      <c r="B49" s="66">
        <v>98863.4150828454</v>
      </c>
      <c r="C49" s="14"/>
      <c r="D49" s="14"/>
      <c r="F49" s="10">
        <v>0.26</v>
      </c>
    </row>
    <row r="50" spans="1:6" x14ac:dyDescent="0.2">
      <c r="A50" s="52" t="s">
        <v>125</v>
      </c>
      <c r="B50" s="66">
        <v>38392.565359994602</v>
      </c>
      <c r="C50" s="14"/>
      <c r="D50" s="14"/>
      <c r="F50" s="10">
        <v>0.1</v>
      </c>
    </row>
    <row r="51" spans="1:6" x14ac:dyDescent="0.2">
      <c r="A51" s="52" t="s">
        <v>126</v>
      </c>
      <c r="B51" s="66">
        <v>12141.5059164786</v>
      </c>
      <c r="C51" s="14"/>
      <c r="D51" s="14"/>
      <c r="F51" s="10">
        <v>0.04</v>
      </c>
    </row>
    <row r="52" spans="1:6" x14ac:dyDescent="0.2">
      <c r="A52" s="52" t="s">
        <v>127</v>
      </c>
      <c r="B52" s="66">
        <v>7950.7676401504896</v>
      </c>
      <c r="C52" s="14"/>
      <c r="D52" s="14"/>
      <c r="F52" s="10">
        <v>0.02</v>
      </c>
    </row>
    <row r="53" spans="1:6" x14ac:dyDescent="0.2">
      <c r="A53" s="14"/>
      <c r="B53" s="11" t="s">
        <v>93</v>
      </c>
      <c r="C53" s="1" t="s">
        <v>6</v>
      </c>
      <c r="D53" s="1" t="s">
        <v>7</v>
      </c>
    </row>
    <row r="54" spans="1:6" x14ac:dyDescent="0.2">
      <c r="A54" s="24" t="s">
        <v>109</v>
      </c>
      <c r="B54" s="25">
        <f>SLOPE(B45:B52,F45:F52)</f>
        <v>423580.47017215984</v>
      </c>
      <c r="C54" s="25" t="e">
        <f>SLOPE(C45:C52,F45:F52)</f>
        <v>#DIV/0!</v>
      </c>
      <c r="D54" s="25" t="e">
        <f>SLOPE(D45:D52,F45:F52)</f>
        <v>#DIV/0!</v>
      </c>
    </row>
    <row r="55" spans="1:6" x14ac:dyDescent="0.2">
      <c r="A55" s="24" t="s">
        <v>110</v>
      </c>
      <c r="B55" s="26">
        <f>INTERCEPT(B45:B52,F45:F52)</f>
        <v>10925.484130760771</v>
      </c>
      <c r="C55" s="26" t="e">
        <f>INTERCEPT(C45:C52,F45:F52)</f>
        <v>#DIV/0!</v>
      </c>
      <c r="D55" s="26" t="e">
        <f>INTERCEPT(D45:D52,F45:F52)</f>
        <v>#DIV/0!</v>
      </c>
    </row>
    <row r="56" spans="1:6" x14ac:dyDescent="0.2">
      <c r="A56" s="24" t="s">
        <v>111</v>
      </c>
      <c r="B56" s="27">
        <f>RSQ(B45:B52,F45:F52)</f>
        <v>0.99941329907109677</v>
      </c>
      <c r="C56" s="27" t="e">
        <f>RSQ(C45:C52,F45:F52)</f>
        <v>#DIV/0!</v>
      </c>
      <c r="D56" s="27" t="e">
        <f>RSQ(D45:D52,F45:F52)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2CF0-3743-4214-96D1-E501DA74CC8B}">
  <dimension ref="A1:T74"/>
  <sheetViews>
    <sheetView zoomScale="50" zoomScaleNormal="80" workbookViewId="0">
      <selection activeCell="F26" sqref="F26"/>
    </sheetView>
  </sheetViews>
  <sheetFormatPr baseColWidth="10" defaultColWidth="8.83203125" defaultRowHeight="15" x14ac:dyDescent="0.2"/>
  <cols>
    <col min="1" max="1" width="9.83203125" bestFit="1" customWidth="1"/>
    <col min="2" max="2" width="21" bestFit="1" customWidth="1"/>
    <col min="3" max="3" width="16.83203125" bestFit="1" customWidth="1"/>
    <col min="4" max="4" width="14.33203125" bestFit="1" customWidth="1"/>
    <col min="5" max="7" width="12.1640625" customWidth="1"/>
    <col min="8" max="9" width="14.33203125" customWidth="1"/>
    <col min="10" max="10" width="13.33203125" customWidth="1"/>
    <col min="11" max="11" width="12.1640625" customWidth="1"/>
    <col min="12" max="13" width="15.33203125" customWidth="1"/>
    <col min="14" max="14" width="12.1640625" customWidth="1"/>
    <col min="15" max="16" width="14.33203125" customWidth="1"/>
    <col min="17" max="17" width="13.33203125" customWidth="1"/>
    <col min="18" max="18" width="12.1640625" customWidth="1"/>
    <col min="19" max="19" width="13.33203125" customWidth="1"/>
    <col min="20" max="20" width="14.33203125" customWidth="1"/>
    <col min="21" max="21" width="9.1640625" customWidth="1"/>
  </cols>
  <sheetData>
    <row r="1" spans="1:20" x14ac:dyDescent="0.2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16</v>
      </c>
      <c r="I1" s="1" t="s">
        <v>92</v>
      </c>
      <c r="J1" s="1" t="s">
        <v>6</v>
      </c>
      <c r="K1" s="1" t="s">
        <v>93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17</v>
      </c>
      <c r="R1" s="1" t="s">
        <v>94</v>
      </c>
      <c r="S1" s="1" t="s">
        <v>18</v>
      </c>
      <c r="T1" s="1" t="s">
        <v>12</v>
      </c>
    </row>
    <row r="2" spans="1:20" x14ac:dyDescent="0.2">
      <c r="A2" s="1" t="s">
        <v>19</v>
      </c>
      <c r="B2" s="2">
        <v>16659758.735301999</v>
      </c>
      <c r="C2" s="2">
        <v>636057.01956492802</v>
      </c>
      <c r="D2" s="15">
        <v>0</v>
      </c>
      <c r="E2" s="15">
        <v>412.22845454535798</v>
      </c>
      <c r="F2" s="15">
        <v>27735.751796216398</v>
      </c>
      <c r="G2" s="15">
        <v>1050.1352542893501</v>
      </c>
      <c r="H2" s="15">
        <v>21191.2924556324</v>
      </c>
      <c r="I2" s="15">
        <v>5797.1893145105996</v>
      </c>
      <c r="J2" s="15">
        <v>43432.0287739614</v>
      </c>
      <c r="K2" s="15">
        <v>111772.93176770701</v>
      </c>
      <c r="L2" s="2">
        <v>1363676.56457328</v>
      </c>
      <c r="M2" s="2">
        <v>5643378.3923399895</v>
      </c>
      <c r="N2" s="15">
        <v>0</v>
      </c>
      <c r="O2" s="2">
        <v>2528184.0609287899</v>
      </c>
      <c r="P2" s="2">
        <v>7049507.2762163496</v>
      </c>
      <c r="Q2" s="15">
        <v>23755.616400250899</v>
      </c>
      <c r="R2" s="15">
        <v>0</v>
      </c>
      <c r="S2" s="2">
        <v>0</v>
      </c>
      <c r="T2" s="2">
        <v>1785793.24375167</v>
      </c>
    </row>
    <row r="3" spans="1:20" x14ac:dyDescent="0.2">
      <c r="A3" s="1" t="s">
        <v>21</v>
      </c>
      <c r="B3" s="2">
        <v>17523720.450759701</v>
      </c>
      <c r="C3" s="2">
        <v>811243.27948515804</v>
      </c>
      <c r="D3" s="15">
        <v>0</v>
      </c>
      <c r="E3" s="15">
        <v>0</v>
      </c>
      <c r="F3" s="15">
        <v>24368.542372236301</v>
      </c>
      <c r="G3" s="15">
        <v>0</v>
      </c>
      <c r="H3" s="15">
        <v>61930.217728860902</v>
      </c>
      <c r="I3" s="15">
        <v>38497.198937682901</v>
      </c>
      <c r="J3" s="15">
        <v>45280.559488538398</v>
      </c>
      <c r="K3" s="15">
        <v>97758.374054554297</v>
      </c>
      <c r="L3" s="2">
        <v>1812859.0959764801</v>
      </c>
      <c r="M3" s="2">
        <v>5395823.4592032405</v>
      </c>
      <c r="N3" s="15">
        <v>0</v>
      </c>
      <c r="O3" s="2">
        <v>2757075.3499447298</v>
      </c>
      <c r="P3" s="2">
        <v>6458862.8966258997</v>
      </c>
      <c r="Q3" s="15">
        <v>22262.8852079594</v>
      </c>
      <c r="R3" s="15">
        <v>0</v>
      </c>
      <c r="S3" s="2">
        <v>0</v>
      </c>
      <c r="T3" s="2">
        <v>1937765.26757588</v>
      </c>
    </row>
    <row r="4" spans="1:20" x14ac:dyDescent="0.2">
      <c r="A4" s="1" t="s">
        <v>23</v>
      </c>
      <c r="B4" s="2">
        <v>19277569.710596301</v>
      </c>
      <c r="C4" s="2">
        <v>1004545.23311107</v>
      </c>
      <c r="D4" s="15">
        <v>4414.9022424367804</v>
      </c>
      <c r="E4" s="15">
        <v>0</v>
      </c>
      <c r="F4" s="15">
        <v>31582.570361100501</v>
      </c>
      <c r="G4" s="15">
        <v>417.42147354663098</v>
      </c>
      <c r="H4" s="15">
        <v>49737.387251143897</v>
      </c>
      <c r="I4" s="15">
        <v>64495.364913422301</v>
      </c>
      <c r="J4" s="15">
        <v>47426.994247024602</v>
      </c>
      <c r="K4" s="15">
        <v>100310.81254498</v>
      </c>
      <c r="L4" s="2">
        <v>4330230.94992333</v>
      </c>
      <c r="M4" s="2">
        <v>5817777.0219695298</v>
      </c>
      <c r="N4" s="15">
        <v>0</v>
      </c>
      <c r="O4" s="2">
        <v>3393989.20069747</v>
      </c>
      <c r="P4" s="2">
        <v>5581503.7615561299</v>
      </c>
      <c r="Q4" s="15">
        <v>27383.156243373</v>
      </c>
      <c r="R4" s="15">
        <v>0</v>
      </c>
      <c r="S4" s="15">
        <v>996.56108532212795</v>
      </c>
      <c r="T4" s="2">
        <v>1725545.96752064</v>
      </c>
    </row>
    <row r="5" spans="1:20" x14ac:dyDescent="0.2">
      <c r="A5" s="1" t="s">
        <v>24</v>
      </c>
      <c r="B5" s="2">
        <v>3598273.1357065099</v>
      </c>
      <c r="C5" s="2">
        <v>206003.080326091</v>
      </c>
      <c r="D5" s="15">
        <v>0</v>
      </c>
      <c r="E5" s="15">
        <v>0</v>
      </c>
      <c r="F5" s="15">
        <v>14045.6479458331</v>
      </c>
      <c r="G5" s="15">
        <v>407.99133996665302</v>
      </c>
      <c r="H5" s="2">
        <v>298466.29866565298</v>
      </c>
      <c r="I5" s="15">
        <v>6649.37346866396</v>
      </c>
      <c r="J5" s="15">
        <v>53937.0829331282</v>
      </c>
      <c r="K5" s="15">
        <v>32193.446874914</v>
      </c>
      <c r="L5" s="2">
        <v>11624414.422952101</v>
      </c>
      <c r="M5" s="2">
        <v>2530517.3296739399</v>
      </c>
      <c r="N5" s="15">
        <v>0</v>
      </c>
      <c r="O5" s="2">
        <v>4295394.3003123896</v>
      </c>
      <c r="P5" s="2">
        <v>3800643.3126856699</v>
      </c>
      <c r="Q5" s="15">
        <v>21601.384846709901</v>
      </c>
      <c r="R5" s="15">
        <v>0</v>
      </c>
      <c r="S5" s="15">
        <v>23887.5770705916</v>
      </c>
      <c r="T5" s="2">
        <v>1663980.34758493</v>
      </c>
    </row>
    <row r="6" spans="1:20" x14ac:dyDescent="0.2">
      <c r="A6" s="1" t="s">
        <v>25</v>
      </c>
      <c r="B6" s="2">
        <v>3776005.5816416899</v>
      </c>
      <c r="C6" s="2">
        <v>270496.591986474</v>
      </c>
      <c r="D6" s="15">
        <v>0</v>
      </c>
      <c r="E6" s="15">
        <v>0</v>
      </c>
      <c r="F6" s="15">
        <v>20195.5833769085</v>
      </c>
      <c r="G6" s="15">
        <v>431.96765775346398</v>
      </c>
      <c r="H6" s="2">
        <v>332746.76663775998</v>
      </c>
      <c r="I6" s="15">
        <v>43870.767919815</v>
      </c>
      <c r="J6" s="15">
        <v>84822.216088497706</v>
      </c>
      <c r="K6" s="15">
        <v>46949.2876455148</v>
      </c>
      <c r="L6" s="2">
        <v>19253227.852348901</v>
      </c>
      <c r="M6" s="2">
        <v>3596021.2258290499</v>
      </c>
      <c r="N6" s="15">
        <v>0</v>
      </c>
      <c r="O6" s="2">
        <v>5841664.0507217804</v>
      </c>
      <c r="P6" s="2">
        <v>4924612.6383357998</v>
      </c>
      <c r="Q6" s="15">
        <v>41957.672098370997</v>
      </c>
      <c r="R6" s="15">
        <v>0</v>
      </c>
      <c r="S6" s="15">
        <v>37318.400479123797</v>
      </c>
      <c r="T6" s="2">
        <v>2342424.7038255599</v>
      </c>
    </row>
    <row r="7" spans="1:20" x14ac:dyDescent="0.2">
      <c r="A7" s="1" t="s">
        <v>26</v>
      </c>
      <c r="B7" s="2">
        <v>3316158.3224190702</v>
      </c>
      <c r="C7" s="2">
        <v>242142.73979003099</v>
      </c>
      <c r="D7" s="15">
        <v>0</v>
      </c>
      <c r="E7" s="15">
        <v>0</v>
      </c>
      <c r="F7" s="15">
        <v>8534.5758186005696</v>
      </c>
      <c r="G7" s="15">
        <v>0</v>
      </c>
      <c r="H7" s="2">
        <v>354257.62005997199</v>
      </c>
      <c r="I7" s="15">
        <v>4072.8517470607799</v>
      </c>
      <c r="J7" s="15">
        <v>53556.205591064201</v>
      </c>
      <c r="K7" s="15">
        <v>43420.214847448799</v>
      </c>
      <c r="L7" s="2">
        <v>19605768.225298598</v>
      </c>
      <c r="M7" s="2">
        <v>2789562.9453296699</v>
      </c>
      <c r="N7" s="15">
        <v>0</v>
      </c>
      <c r="O7" s="2">
        <v>4958380.16794929</v>
      </c>
      <c r="P7" s="2">
        <v>3246120.1852561398</v>
      </c>
      <c r="Q7" s="15">
        <v>22038.203745849401</v>
      </c>
      <c r="R7" s="15">
        <v>0</v>
      </c>
      <c r="S7" s="15">
        <v>63092.456013274001</v>
      </c>
      <c r="T7" s="2">
        <v>2174675.6375106</v>
      </c>
    </row>
    <row r="8" spans="1:20" x14ac:dyDescent="0.2">
      <c r="A8" s="1" t="s">
        <v>95</v>
      </c>
      <c r="B8" s="2">
        <v>18287000.602993499</v>
      </c>
      <c r="C8" s="2">
        <v>217237.08891863</v>
      </c>
      <c r="D8" s="15">
        <v>0</v>
      </c>
      <c r="E8" s="15">
        <v>616.21553018065902</v>
      </c>
      <c r="F8" s="15">
        <v>29026.430712421701</v>
      </c>
      <c r="G8" s="15">
        <v>496.370155477038</v>
      </c>
      <c r="H8" s="2">
        <v>384514.18198906101</v>
      </c>
      <c r="I8" s="15">
        <v>3357.210916555</v>
      </c>
      <c r="J8" s="15">
        <v>51875.809911341799</v>
      </c>
      <c r="K8" s="15">
        <v>38908.554616644498</v>
      </c>
      <c r="L8" s="2">
        <v>522244.75351046398</v>
      </c>
      <c r="M8" s="2">
        <v>3220476.6310154102</v>
      </c>
      <c r="N8" s="15">
        <v>0</v>
      </c>
      <c r="O8" s="2">
        <v>1741403.4351878799</v>
      </c>
      <c r="P8" s="2">
        <v>7818457.9167688396</v>
      </c>
      <c r="Q8" s="15">
        <v>26231.474959653999</v>
      </c>
      <c r="R8" s="15">
        <v>0</v>
      </c>
      <c r="S8" s="15">
        <v>64267.632064116398</v>
      </c>
      <c r="T8" s="2">
        <v>2514233.7433269401</v>
      </c>
    </row>
    <row r="9" spans="1:20" x14ac:dyDescent="0.2">
      <c r="A9" s="1" t="s">
        <v>27</v>
      </c>
      <c r="B9" s="2">
        <v>21173956.474948701</v>
      </c>
      <c r="C9" s="2">
        <v>463399.36175676598</v>
      </c>
      <c r="D9" s="15">
        <v>0</v>
      </c>
      <c r="E9" s="15">
        <v>0</v>
      </c>
      <c r="F9" s="15">
        <v>32899.703129867201</v>
      </c>
      <c r="G9" s="15">
        <v>1174.0112510395099</v>
      </c>
      <c r="H9" s="2">
        <v>404488.47915534797</v>
      </c>
      <c r="I9" s="15">
        <v>8620.4577218918803</v>
      </c>
      <c r="J9" s="15">
        <v>54251.245905126299</v>
      </c>
      <c r="K9" s="15">
        <v>42385.261115650101</v>
      </c>
      <c r="L9" s="2">
        <v>595941.21227679797</v>
      </c>
      <c r="M9" s="2">
        <v>3376189.4874849101</v>
      </c>
      <c r="N9" s="15">
        <v>0</v>
      </c>
      <c r="O9" s="2">
        <v>1864806.8493234201</v>
      </c>
      <c r="P9" s="2">
        <v>7938589.7105871001</v>
      </c>
      <c r="Q9" s="15">
        <v>29220.541392913499</v>
      </c>
      <c r="R9" s="15">
        <v>0</v>
      </c>
      <c r="S9" s="15">
        <v>73870.497734713499</v>
      </c>
      <c r="T9" s="2">
        <v>2422343.7464991901</v>
      </c>
    </row>
    <row r="10" spans="1:20" x14ac:dyDescent="0.2">
      <c r="A10" s="1" t="s">
        <v>28</v>
      </c>
      <c r="B10" s="2">
        <v>21001154.8572088</v>
      </c>
      <c r="C10" s="2">
        <v>234769.040483355</v>
      </c>
      <c r="D10" s="15">
        <v>2724.1155670243702</v>
      </c>
      <c r="E10" s="15">
        <v>0</v>
      </c>
      <c r="F10" s="15">
        <v>30980.766058597601</v>
      </c>
      <c r="G10" s="15">
        <v>1022.34422096597</v>
      </c>
      <c r="H10" s="2">
        <v>475996.19004546799</v>
      </c>
      <c r="I10" s="15">
        <v>19475.2591135123</v>
      </c>
      <c r="J10" s="15">
        <v>51274.572508177298</v>
      </c>
      <c r="K10" s="15">
        <v>45065.537177633603</v>
      </c>
      <c r="L10" s="2">
        <v>841256.70239157102</v>
      </c>
      <c r="M10" s="2">
        <v>3480991.90083797</v>
      </c>
      <c r="N10" s="15">
        <v>0</v>
      </c>
      <c r="O10" s="2">
        <v>1955867.0570815301</v>
      </c>
      <c r="P10" s="2">
        <v>8574294.7053364404</v>
      </c>
      <c r="Q10" s="15">
        <v>35690.198835699499</v>
      </c>
      <c r="R10" s="15">
        <v>0</v>
      </c>
      <c r="S10" s="15">
        <v>76761.256275462598</v>
      </c>
      <c r="T10" s="2">
        <v>2505768.59317635</v>
      </c>
    </row>
    <row r="11" spans="1:20" x14ac:dyDescent="0.2">
      <c r="A11" s="1" t="s">
        <v>29</v>
      </c>
      <c r="B11" s="2">
        <v>17325204.200404901</v>
      </c>
      <c r="C11" s="2">
        <v>2324404.17873216</v>
      </c>
      <c r="D11" s="15">
        <v>849349.89084762905</v>
      </c>
      <c r="E11" s="15">
        <v>0</v>
      </c>
      <c r="F11" s="15">
        <v>26245.795609199398</v>
      </c>
      <c r="G11" s="15">
        <v>957.05274977303895</v>
      </c>
      <c r="H11" s="2">
        <v>421272.27548817999</v>
      </c>
      <c r="I11" s="15">
        <v>4969.1901572404304</v>
      </c>
      <c r="J11" s="15">
        <v>42067.048014046399</v>
      </c>
      <c r="K11" s="15">
        <v>74879.586936997803</v>
      </c>
      <c r="L11" s="2">
        <v>523529.952180797</v>
      </c>
      <c r="M11" s="2">
        <v>6242308.9574025301</v>
      </c>
      <c r="N11" s="15">
        <v>0</v>
      </c>
      <c r="O11" s="2">
        <v>1883084.87769775</v>
      </c>
      <c r="P11" s="2">
        <v>7054215.2084048996</v>
      </c>
      <c r="Q11" s="15">
        <v>44360.137893688101</v>
      </c>
      <c r="R11" s="15">
        <v>0</v>
      </c>
      <c r="S11" s="15">
        <v>77829.453413853698</v>
      </c>
      <c r="T11" s="2">
        <v>2737751.4212965001</v>
      </c>
    </row>
    <row r="12" spans="1:20" x14ac:dyDescent="0.2">
      <c r="A12" s="1" t="s">
        <v>30</v>
      </c>
      <c r="B12" s="2">
        <v>14609645.334540199</v>
      </c>
      <c r="C12" s="2">
        <v>1796839.59855738</v>
      </c>
      <c r="D12" s="15">
        <v>554884.184864018</v>
      </c>
      <c r="E12" s="15">
        <v>0</v>
      </c>
      <c r="F12" s="15">
        <v>25975.376581852001</v>
      </c>
      <c r="G12" s="15">
        <v>0</v>
      </c>
      <c r="H12" s="2">
        <v>411788.01256088301</v>
      </c>
      <c r="I12" s="15">
        <v>6192.4536365225804</v>
      </c>
      <c r="J12" s="15">
        <v>49825.873835250699</v>
      </c>
      <c r="K12" s="15">
        <v>63870.664457838699</v>
      </c>
      <c r="L12" s="2">
        <v>471835.40929297701</v>
      </c>
      <c r="M12" s="2">
        <v>5535945.56977168</v>
      </c>
      <c r="N12" s="15">
        <v>0</v>
      </c>
      <c r="O12" s="2">
        <v>1613109.18487139</v>
      </c>
      <c r="P12" s="2">
        <v>6606827.7505183304</v>
      </c>
      <c r="Q12" s="15">
        <v>35585.0179803723</v>
      </c>
      <c r="R12" s="15">
        <v>0</v>
      </c>
      <c r="S12" s="15">
        <v>35041.706860456899</v>
      </c>
      <c r="T12" s="2">
        <v>2319708.7002898301</v>
      </c>
    </row>
    <row r="13" spans="1:20" x14ac:dyDescent="0.2">
      <c r="A13" s="1" t="s">
        <v>31</v>
      </c>
      <c r="B13" s="2">
        <v>15307385.2555678</v>
      </c>
      <c r="C13" s="2">
        <v>4887364.0613547098</v>
      </c>
      <c r="D13" s="15">
        <v>1172735.17070509</v>
      </c>
      <c r="E13" s="15">
        <v>0</v>
      </c>
      <c r="F13" s="15">
        <v>24707.941169977501</v>
      </c>
      <c r="G13" s="15">
        <v>3025.5125140207201</v>
      </c>
      <c r="H13" s="2">
        <v>521911.84080315998</v>
      </c>
      <c r="I13" s="15">
        <v>4057.3058190930401</v>
      </c>
      <c r="J13" s="15">
        <v>60967.033275793598</v>
      </c>
      <c r="K13" s="15">
        <v>100345.934146912</v>
      </c>
      <c r="L13" s="2">
        <v>649339.444507187</v>
      </c>
      <c r="M13" s="2">
        <v>6309735.8469749503</v>
      </c>
      <c r="N13" s="15">
        <v>0</v>
      </c>
      <c r="O13" s="2">
        <v>1750340.3369403</v>
      </c>
      <c r="P13" s="2">
        <v>6929833.8713553604</v>
      </c>
      <c r="Q13" s="15">
        <v>35225.383442347797</v>
      </c>
      <c r="R13" s="15">
        <v>0</v>
      </c>
      <c r="S13" s="15">
        <v>85725.867056018295</v>
      </c>
      <c r="T13" s="2">
        <v>2558995.5876702298</v>
      </c>
    </row>
    <row r="14" spans="1:20" x14ac:dyDescent="0.2">
      <c r="A14" s="1" t="s">
        <v>32</v>
      </c>
      <c r="B14" s="2">
        <v>43410614.610494502</v>
      </c>
      <c r="C14" s="2">
        <v>9986497.9161546007</v>
      </c>
      <c r="D14" s="15">
        <v>3829.1186441058999</v>
      </c>
      <c r="E14" s="15">
        <v>0</v>
      </c>
      <c r="F14" s="15">
        <v>105102.992067061</v>
      </c>
      <c r="G14" s="15">
        <v>10725.1337811703</v>
      </c>
      <c r="H14" s="2">
        <v>2640435.76257081</v>
      </c>
      <c r="I14" s="2">
        <v>234741.795926614</v>
      </c>
      <c r="J14" s="2">
        <v>145274.83349126999</v>
      </c>
      <c r="K14" s="2">
        <v>167275.307486037</v>
      </c>
      <c r="L14" s="15">
        <v>19952.7837026651</v>
      </c>
      <c r="M14" s="2">
        <v>17329016.546253499</v>
      </c>
      <c r="N14" s="15">
        <v>7564.8612501265798</v>
      </c>
      <c r="O14" s="2">
        <v>5958018.9744178997</v>
      </c>
      <c r="P14" s="2">
        <v>25289587.333191399</v>
      </c>
      <c r="Q14" s="2">
        <v>173492.80172483399</v>
      </c>
      <c r="R14" s="15">
        <v>24069.507632626799</v>
      </c>
      <c r="S14" s="15">
        <v>271290.83418188</v>
      </c>
      <c r="T14" s="2">
        <v>6236433.5193274096</v>
      </c>
    </row>
    <row r="15" spans="1:20" x14ac:dyDescent="0.2">
      <c r="A15" s="1" t="s">
        <v>33</v>
      </c>
      <c r="B15" s="2">
        <v>31649420.743160401</v>
      </c>
      <c r="C15" s="2">
        <v>2822613.3564782501</v>
      </c>
      <c r="D15" s="15">
        <v>0</v>
      </c>
      <c r="E15" s="15">
        <v>0</v>
      </c>
      <c r="F15" s="15">
        <v>90972.873175764893</v>
      </c>
      <c r="G15" s="15">
        <v>9451.7352640504505</v>
      </c>
      <c r="H15" s="2">
        <v>2435981.0413013399</v>
      </c>
      <c r="I15" s="2">
        <v>213432.45460203101</v>
      </c>
      <c r="J15" s="2">
        <v>141292.13427619901</v>
      </c>
      <c r="K15" s="2">
        <v>164340.50463135599</v>
      </c>
      <c r="L15" s="2">
        <v>3005698.3154314202</v>
      </c>
      <c r="M15" s="2">
        <v>14914632.6346469</v>
      </c>
      <c r="N15" s="15">
        <v>14489.301717505699</v>
      </c>
      <c r="O15" s="2">
        <v>5305437.2352943802</v>
      </c>
      <c r="P15" s="2">
        <v>20776974.127072599</v>
      </c>
      <c r="Q15" s="15">
        <v>126165.167293208</v>
      </c>
      <c r="R15" s="15">
        <v>6599.1122931803502</v>
      </c>
      <c r="S15" s="15">
        <v>240176.909741624</v>
      </c>
      <c r="T15" s="2">
        <v>4730748.63792523</v>
      </c>
    </row>
    <row r="16" spans="1:20" x14ac:dyDescent="0.2">
      <c r="A16" s="1" t="s">
        <v>34</v>
      </c>
      <c r="B16" s="2">
        <v>42177786.857582599</v>
      </c>
      <c r="C16" s="2">
        <v>3357726.9619083102</v>
      </c>
      <c r="D16" s="15">
        <v>0</v>
      </c>
      <c r="E16" s="15">
        <v>0</v>
      </c>
      <c r="F16" s="15">
        <v>112772.147834761</v>
      </c>
      <c r="G16" s="15">
        <v>8584.6113255244509</v>
      </c>
      <c r="H16" s="2">
        <v>2304910.4912481802</v>
      </c>
      <c r="I16" s="2">
        <v>269928.03876674798</v>
      </c>
      <c r="J16" s="2">
        <v>188636.54253494999</v>
      </c>
      <c r="K16" s="2">
        <v>167511.87187630899</v>
      </c>
      <c r="L16" s="2">
        <v>3901030.9775769501</v>
      </c>
      <c r="M16" s="2">
        <v>18258680.2522333</v>
      </c>
      <c r="N16" s="15">
        <v>32028.067841395699</v>
      </c>
      <c r="O16" s="2">
        <v>6175576.7935695499</v>
      </c>
      <c r="P16" s="2">
        <v>24978351.5601677</v>
      </c>
      <c r="Q16" s="2">
        <v>215242.39661772299</v>
      </c>
      <c r="R16" s="15">
        <v>0</v>
      </c>
      <c r="S16" s="15">
        <v>259692.89111643701</v>
      </c>
      <c r="T16" s="2">
        <v>5580506.1010667197</v>
      </c>
    </row>
    <row r="17" spans="1:20" x14ac:dyDescent="0.2">
      <c r="A17" s="1" t="s">
        <v>35</v>
      </c>
      <c r="B17" s="2">
        <v>2895570.0802316801</v>
      </c>
      <c r="C17" s="2">
        <v>301277.846103421</v>
      </c>
      <c r="D17" s="15">
        <v>0</v>
      </c>
      <c r="E17" s="15">
        <v>0</v>
      </c>
      <c r="F17" s="15">
        <v>21154.833912539802</v>
      </c>
      <c r="G17" s="15">
        <v>928.53764571442298</v>
      </c>
      <c r="H17" s="2">
        <v>421251.71506581199</v>
      </c>
      <c r="I17" s="2">
        <v>325392.24985795701</v>
      </c>
      <c r="J17" s="15">
        <v>3152.8920894303501</v>
      </c>
      <c r="K17" s="15">
        <v>28312.308583295198</v>
      </c>
      <c r="L17" s="2">
        <v>89950658.510133103</v>
      </c>
      <c r="M17" s="2">
        <v>2543271.89694012</v>
      </c>
      <c r="N17" s="15">
        <v>0</v>
      </c>
      <c r="O17" s="2">
        <v>15041184.765555499</v>
      </c>
      <c r="P17" s="2">
        <v>6994559.03121881</v>
      </c>
      <c r="Q17" s="15">
        <v>106350.708633988</v>
      </c>
      <c r="R17" s="15">
        <v>3990.2072717722599</v>
      </c>
      <c r="S17" s="15">
        <v>112295.803525191</v>
      </c>
      <c r="T17" s="2">
        <v>6457947.5262177</v>
      </c>
    </row>
    <row r="18" spans="1:20" x14ac:dyDescent="0.2">
      <c r="A18" s="1" t="s">
        <v>36</v>
      </c>
      <c r="B18" s="2">
        <v>3041357.0447311299</v>
      </c>
      <c r="C18" s="2">
        <v>149062.72749322499</v>
      </c>
      <c r="D18" s="15">
        <v>0</v>
      </c>
      <c r="E18" s="15">
        <v>0</v>
      </c>
      <c r="F18" s="15">
        <v>9906.9122120271204</v>
      </c>
      <c r="G18" s="15">
        <v>0</v>
      </c>
      <c r="H18" s="2">
        <v>692702.71982529305</v>
      </c>
      <c r="I18" s="2">
        <v>246161.95985757999</v>
      </c>
      <c r="J18" s="15">
        <v>182002.42482307099</v>
      </c>
      <c r="K18" s="15">
        <v>29621.346653014702</v>
      </c>
      <c r="L18" s="2">
        <v>55929836.365901403</v>
      </c>
      <c r="M18" s="2">
        <v>1874481.2846506101</v>
      </c>
      <c r="N18" s="15">
        <v>3696.4525140686401</v>
      </c>
      <c r="O18" s="2">
        <v>13486419.4093512</v>
      </c>
      <c r="P18" s="2">
        <v>8176087.4679739801</v>
      </c>
      <c r="Q18" s="15">
        <v>61379.6687105858</v>
      </c>
      <c r="R18" s="15">
        <v>0</v>
      </c>
      <c r="S18" s="15">
        <v>116588.819900203</v>
      </c>
      <c r="T18" s="2">
        <v>5740082.5766105903</v>
      </c>
    </row>
    <row r="19" spans="1:20" x14ac:dyDescent="0.2">
      <c r="A19" s="1" t="s">
        <v>37</v>
      </c>
      <c r="B19" s="2">
        <v>3019195.08055904</v>
      </c>
      <c r="C19" s="2">
        <v>287361.01055236498</v>
      </c>
      <c r="D19" s="15">
        <v>0</v>
      </c>
      <c r="E19" s="15">
        <v>0</v>
      </c>
      <c r="F19" s="15">
        <v>12580.149954667801</v>
      </c>
      <c r="G19" s="15">
        <v>0</v>
      </c>
      <c r="H19" s="2">
        <v>677165.44485336705</v>
      </c>
      <c r="I19" s="2">
        <v>225190.913475376</v>
      </c>
      <c r="J19" s="15">
        <v>202871.827611352</v>
      </c>
      <c r="K19" s="15">
        <v>23409.426958604799</v>
      </c>
      <c r="L19" s="2">
        <v>53428191.359443799</v>
      </c>
      <c r="M19" s="2">
        <v>2238974.2853540001</v>
      </c>
      <c r="N19" s="15">
        <v>6163.8311364979099</v>
      </c>
      <c r="O19" s="2">
        <v>15361677.6662836</v>
      </c>
      <c r="P19" s="2">
        <v>11942184.789071299</v>
      </c>
      <c r="Q19" s="15">
        <v>112318.503327935</v>
      </c>
      <c r="R19" s="15">
        <v>0</v>
      </c>
      <c r="S19" s="15">
        <v>104811.419760335</v>
      </c>
      <c r="T19" s="2">
        <v>6684884.2887567999</v>
      </c>
    </row>
    <row r="20" spans="1:20" x14ac:dyDescent="0.2">
      <c r="A20" s="1" t="s">
        <v>38</v>
      </c>
      <c r="B20" s="2">
        <v>41245443.281144798</v>
      </c>
      <c r="C20" s="2">
        <v>157163.16721788599</v>
      </c>
      <c r="D20" s="15">
        <v>163361.45876468299</v>
      </c>
      <c r="E20" s="15">
        <v>0</v>
      </c>
      <c r="F20" s="15">
        <v>108111.496275782</v>
      </c>
      <c r="G20" s="15">
        <v>8745.4605698443993</v>
      </c>
      <c r="H20" s="2">
        <v>577412.24942869402</v>
      </c>
      <c r="I20" s="2">
        <v>170300.15043367</v>
      </c>
      <c r="J20" s="15">
        <v>169540.43712086399</v>
      </c>
      <c r="K20" s="15">
        <v>30100.692541182802</v>
      </c>
      <c r="L20" s="2">
        <v>2284815.3921197201</v>
      </c>
      <c r="M20" s="2">
        <v>2334964.3186098202</v>
      </c>
      <c r="N20" s="15">
        <v>24414.342062228501</v>
      </c>
      <c r="O20" s="2">
        <v>3997091.5563809201</v>
      </c>
      <c r="P20" s="2">
        <v>24613769.781422298</v>
      </c>
      <c r="Q20" s="15">
        <v>112352.82036363</v>
      </c>
      <c r="R20" s="15">
        <v>0</v>
      </c>
      <c r="S20" s="15">
        <v>115966.144178915</v>
      </c>
      <c r="T20" s="2">
        <v>6788950.0641327603</v>
      </c>
    </row>
    <row r="21" spans="1:20" x14ac:dyDescent="0.2">
      <c r="A21" s="1" t="s">
        <v>39</v>
      </c>
      <c r="B21" s="2">
        <v>46959576.764671899</v>
      </c>
      <c r="C21" s="2">
        <v>294774.83585454</v>
      </c>
      <c r="D21" s="15">
        <v>85931.502294349397</v>
      </c>
      <c r="E21" s="15">
        <v>0</v>
      </c>
      <c r="F21" s="15">
        <v>122644.27891892201</v>
      </c>
      <c r="G21" s="15">
        <v>11813.804010849901</v>
      </c>
      <c r="H21" s="2">
        <v>616071.17360399803</v>
      </c>
      <c r="I21" s="2">
        <v>120009.85722830601</v>
      </c>
      <c r="J21" s="15">
        <v>185212.318972126</v>
      </c>
      <c r="K21" s="15">
        <v>23835.544699149399</v>
      </c>
      <c r="L21" s="2">
        <v>1859867.53564964</v>
      </c>
      <c r="M21" s="2">
        <v>2413334.3690113402</v>
      </c>
      <c r="N21" s="15">
        <v>28521.2614483301</v>
      </c>
      <c r="O21" s="2">
        <v>4030648.9776997799</v>
      </c>
      <c r="P21" s="2">
        <v>23942162.416668199</v>
      </c>
      <c r="Q21" s="15">
        <v>107151.656522933</v>
      </c>
      <c r="R21" s="15">
        <v>0</v>
      </c>
      <c r="S21" s="15">
        <v>147083.84140756799</v>
      </c>
      <c r="T21" s="2">
        <v>7018329.7342943298</v>
      </c>
    </row>
    <row r="22" spans="1:20" x14ac:dyDescent="0.2">
      <c r="A22" s="1" t="s">
        <v>40</v>
      </c>
      <c r="B22" s="2">
        <v>45194861.303251103</v>
      </c>
      <c r="C22" s="2">
        <v>296319.073819182</v>
      </c>
      <c r="D22" s="15">
        <v>126519.679949506</v>
      </c>
      <c r="E22" s="15">
        <v>0</v>
      </c>
      <c r="F22" s="15">
        <v>110561.13627492001</v>
      </c>
      <c r="G22" s="15">
        <v>7897.33416231301</v>
      </c>
      <c r="H22" s="2">
        <v>597230.11567705101</v>
      </c>
      <c r="I22" s="2">
        <v>170163.28103397699</v>
      </c>
      <c r="J22" s="15">
        <v>181199.31164680299</v>
      </c>
      <c r="K22" s="15">
        <v>22298.426201204598</v>
      </c>
      <c r="L22" s="2">
        <v>2332005.0429522102</v>
      </c>
      <c r="M22" s="2">
        <v>2392320.1404178701</v>
      </c>
      <c r="N22" s="15">
        <v>5168.5141612529396</v>
      </c>
      <c r="O22" s="2">
        <v>3827055.8768173698</v>
      </c>
      <c r="P22" s="2">
        <v>24472698.985468298</v>
      </c>
      <c r="Q22" s="15">
        <v>134604.047356422</v>
      </c>
      <c r="R22" s="15">
        <v>0</v>
      </c>
      <c r="S22" s="15">
        <v>96251.835199747293</v>
      </c>
      <c r="T22" s="2">
        <v>6454376.0582089303</v>
      </c>
    </row>
    <row r="23" spans="1:20" x14ac:dyDescent="0.2">
      <c r="A23" s="1" t="s">
        <v>41</v>
      </c>
      <c r="B23" s="2">
        <v>28089550.450054999</v>
      </c>
      <c r="C23" s="2">
        <v>11150319.6472883</v>
      </c>
      <c r="D23" s="2">
        <v>1507239.9015916199</v>
      </c>
      <c r="E23" s="15">
        <v>0</v>
      </c>
      <c r="F23" s="15">
        <v>99033.798346188007</v>
      </c>
      <c r="G23" s="15">
        <v>13313.948316060099</v>
      </c>
      <c r="H23" s="2">
        <v>2142156.46291437</v>
      </c>
      <c r="I23" s="2">
        <v>181698.85164074201</v>
      </c>
      <c r="J23" s="2">
        <v>160876.699360028</v>
      </c>
      <c r="K23" s="2">
        <v>181100.43519229599</v>
      </c>
      <c r="L23" s="2">
        <v>1793605.5760265</v>
      </c>
      <c r="M23" s="2">
        <v>16486024.651255701</v>
      </c>
      <c r="N23" s="15">
        <v>4928.0404413058104</v>
      </c>
      <c r="O23" s="2">
        <v>3822466.7792241098</v>
      </c>
      <c r="P23" s="2">
        <v>20892104.7582989</v>
      </c>
      <c r="Q23" s="2">
        <v>143918.34576950801</v>
      </c>
      <c r="R23" s="15">
        <v>11301.914188037301</v>
      </c>
      <c r="S23" s="15">
        <v>120204.24452830201</v>
      </c>
      <c r="T23" s="2">
        <v>5978117.5424712403</v>
      </c>
    </row>
    <row r="24" spans="1:20" x14ac:dyDescent="0.2">
      <c r="A24" s="1" t="s">
        <v>42</v>
      </c>
      <c r="B24" s="2">
        <v>25434519.946036801</v>
      </c>
      <c r="C24" s="2">
        <v>6749522.6376113202</v>
      </c>
      <c r="D24" s="2">
        <v>856278.62118166604</v>
      </c>
      <c r="E24" s="15">
        <v>0</v>
      </c>
      <c r="F24" s="15">
        <v>98147.103149959599</v>
      </c>
      <c r="G24" s="15">
        <v>5182.9226280702396</v>
      </c>
      <c r="H24" s="2">
        <v>1939619.62785211</v>
      </c>
      <c r="I24" s="2">
        <v>157353.20152263201</v>
      </c>
      <c r="J24" s="2">
        <v>2599.4527488803001</v>
      </c>
      <c r="K24" s="2">
        <v>162739.20057683601</v>
      </c>
      <c r="L24" s="2">
        <v>1392471.13359734</v>
      </c>
      <c r="M24" s="2">
        <v>16401015.907854401</v>
      </c>
      <c r="N24" s="15">
        <v>13347.358901564499</v>
      </c>
      <c r="O24" s="2">
        <v>3221538.7869234602</v>
      </c>
      <c r="P24" s="2">
        <v>18524313.573969301</v>
      </c>
      <c r="Q24" s="15">
        <v>132878.63540179201</v>
      </c>
      <c r="R24" s="15">
        <v>6929.9760561276098</v>
      </c>
      <c r="S24" s="2">
        <v>241059.644008106</v>
      </c>
      <c r="T24" s="2">
        <v>4893850.1055693198</v>
      </c>
    </row>
    <row r="25" spans="1:20" x14ac:dyDescent="0.2">
      <c r="A25" s="1" t="s">
        <v>43</v>
      </c>
      <c r="B25" s="2">
        <v>25814753.362902701</v>
      </c>
      <c r="C25" s="2">
        <v>19574207.134315699</v>
      </c>
      <c r="D25" s="2">
        <v>997443.32949742104</v>
      </c>
      <c r="E25" s="15">
        <v>0</v>
      </c>
      <c r="F25" s="15">
        <v>89217.495779235498</v>
      </c>
      <c r="G25" s="15">
        <v>4780.9473125936101</v>
      </c>
      <c r="H25" s="2">
        <v>1697352.0205875901</v>
      </c>
      <c r="I25" s="2">
        <v>166806.38160102701</v>
      </c>
      <c r="J25" s="15">
        <v>157595.520647019</v>
      </c>
      <c r="K25" s="15">
        <v>147759.98299855899</v>
      </c>
      <c r="L25" s="2">
        <v>1400621.4482775</v>
      </c>
      <c r="M25" s="2">
        <v>15628126.356877901</v>
      </c>
      <c r="N25" s="15">
        <v>4185.5650387386404</v>
      </c>
      <c r="O25" s="2">
        <v>3027652.8930299599</v>
      </c>
      <c r="P25" s="2">
        <v>19379937.200079001</v>
      </c>
      <c r="Q25" s="2">
        <v>154409.493970132</v>
      </c>
      <c r="R25" s="15">
        <v>0</v>
      </c>
      <c r="S25" s="15">
        <v>204633.735024252</v>
      </c>
      <c r="T25" s="2">
        <v>4837840.5489733899</v>
      </c>
    </row>
    <row r="26" spans="1:20" x14ac:dyDescent="0.2">
      <c r="A26" s="1" t="s">
        <v>44</v>
      </c>
      <c r="B26" s="2">
        <v>26798995.7443799</v>
      </c>
      <c r="C26" s="2">
        <v>1567495.7379384399</v>
      </c>
      <c r="D26" s="2">
        <v>91421.533035356595</v>
      </c>
      <c r="E26" s="15">
        <v>0</v>
      </c>
      <c r="F26" s="2">
        <v>222909.904332201</v>
      </c>
      <c r="G26" s="15">
        <v>25799.476861775602</v>
      </c>
      <c r="H26" s="2">
        <v>209951.672372384</v>
      </c>
      <c r="I26" s="2">
        <v>6022.8568868578004</v>
      </c>
      <c r="J26" s="2">
        <v>266725.03771410801</v>
      </c>
      <c r="K26" s="2">
        <v>516245.903652307</v>
      </c>
      <c r="L26" s="2">
        <v>7426321.5597265903</v>
      </c>
      <c r="M26" s="2">
        <v>28422471.806480199</v>
      </c>
      <c r="N26" s="15">
        <v>102727.609364453</v>
      </c>
      <c r="O26" s="2">
        <v>15489628.458518101</v>
      </c>
      <c r="P26" s="2">
        <v>18877416.518090401</v>
      </c>
      <c r="Q26" s="2">
        <v>161760.19884239099</v>
      </c>
      <c r="R26" s="15">
        <v>80137.010671799799</v>
      </c>
      <c r="S26" s="15">
        <v>37690.1447466397</v>
      </c>
      <c r="T26" s="2">
        <v>7552653.3487048596</v>
      </c>
    </row>
    <row r="27" spans="1:20" x14ac:dyDescent="0.2">
      <c r="A27" s="1" t="s">
        <v>45</v>
      </c>
      <c r="B27" s="2">
        <v>14453837.906302899</v>
      </c>
      <c r="C27" s="2">
        <v>1906021.3564037799</v>
      </c>
      <c r="D27" s="15">
        <v>40502.228847897903</v>
      </c>
      <c r="E27" s="15">
        <v>397.69686747427602</v>
      </c>
      <c r="F27" s="2">
        <v>128209.240408688</v>
      </c>
      <c r="G27" s="15">
        <v>23460.551027391699</v>
      </c>
      <c r="H27" s="2">
        <v>240603.899328081</v>
      </c>
      <c r="I27" s="2">
        <v>521805.23231632001</v>
      </c>
      <c r="J27" s="2">
        <v>250202.022859527</v>
      </c>
      <c r="K27" s="2">
        <v>329480.02553633897</v>
      </c>
      <c r="L27" s="2">
        <v>5100530.8339958899</v>
      </c>
      <c r="M27" s="2">
        <v>16286779.2664697</v>
      </c>
      <c r="N27" s="15">
        <v>32961.087309158102</v>
      </c>
      <c r="O27" s="2">
        <v>8585909.6061954908</v>
      </c>
      <c r="P27" s="2">
        <v>11463990.6749915</v>
      </c>
      <c r="Q27" s="15">
        <v>91060.260228038795</v>
      </c>
      <c r="R27" s="15">
        <v>28833.767524286901</v>
      </c>
      <c r="S27" s="15">
        <v>16542.8135333018</v>
      </c>
      <c r="T27" s="2">
        <v>5298947.4898435604</v>
      </c>
    </row>
    <row r="28" spans="1:20" x14ac:dyDescent="0.2">
      <c r="A28" s="1" t="s">
        <v>46</v>
      </c>
      <c r="B28" s="2">
        <v>21981926.654068299</v>
      </c>
      <c r="C28" s="2">
        <v>3123331.5126408399</v>
      </c>
      <c r="D28" s="2">
        <v>597937.64672455995</v>
      </c>
      <c r="E28" s="15">
        <v>0</v>
      </c>
      <c r="F28" s="2">
        <v>197918.26652057201</v>
      </c>
      <c r="G28" s="15">
        <v>19270.8602555777</v>
      </c>
      <c r="H28" s="2">
        <v>309482.38641032402</v>
      </c>
      <c r="I28" s="2">
        <v>383878.51291807299</v>
      </c>
      <c r="J28" s="2">
        <v>409321.98196409899</v>
      </c>
      <c r="K28" s="2">
        <v>442414.06736682297</v>
      </c>
      <c r="L28" s="2">
        <v>17840930.679268099</v>
      </c>
      <c r="M28" s="2">
        <v>22749545.181255098</v>
      </c>
      <c r="N28" s="15">
        <v>0</v>
      </c>
      <c r="O28" s="2">
        <v>15802475.327217299</v>
      </c>
      <c r="P28" s="2">
        <v>11056346.5042975</v>
      </c>
      <c r="Q28" s="2">
        <v>167671.99585529999</v>
      </c>
      <c r="R28" s="15">
        <v>70261.663252362603</v>
      </c>
      <c r="S28" s="15">
        <v>14634.3203148459</v>
      </c>
      <c r="T28" s="2">
        <v>7074180.3047846695</v>
      </c>
    </row>
    <row r="29" spans="1:20" x14ac:dyDescent="0.2">
      <c r="A29" s="1" t="s">
        <v>47</v>
      </c>
      <c r="B29" s="2">
        <v>3355962.00644759</v>
      </c>
      <c r="C29" s="2">
        <v>832009.76258359104</v>
      </c>
      <c r="D29" s="15">
        <v>0</v>
      </c>
      <c r="E29" s="15">
        <v>0</v>
      </c>
      <c r="F29" s="2">
        <v>172847.59659464</v>
      </c>
      <c r="G29" s="15">
        <v>9956.8315349086806</v>
      </c>
      <c r="H29" s="2">
        <v>1821345.7957386901</v>
      </c>
      <c r="I29" s="2">
        <v>1236360.4141342901</v>
      </c>
      <c r="J29" s="2">
        <v>397766.10740654101</v>
      </c>
      <c r="K29" s="2">
        <v>249030.39707710099</v>
      </c>
      <c r="L29" s="2">
        <v>61777646.880206503</v>
      </c>
      <c r="M29" s="2">
        <v>13538904.8838866</v>
      </c>
      <c r="N29" s="15">
        <v>112620.27420630099</v>
      </c>
      <c r="O29" s="2">
        <v>22680301.768384699</v>
      </c>
      <c r="P29" s="2">
        <v>12753537.3462632</v>
      </c>
      <c r="Q29" s="2">
        <v>219950.81428485701</v>
      </c>
      <c r="R29" s="15">
        <v>68347.899241620195</v>
      </c>
      <c r="S29" s="2">
        <v>303492.10785000102</v>
      </c>
      <c r="T29" s="2">
        <v>7833380.8514643703</v>
      </c>
    </row>
    <row r="30" spans="1:20" x14ac:dyDescent="0.2">
      <c r="A30" s="1" t="s">
        <v>48</v>
      </c>
      <c r="B30" s="2">
        <v>3048769.4274545</v>
      </c>
      <c r="C30" s="2">
        <v>853179.77930826298</v>
      </c>
      <c r="D30" s="15">
        <v>0</v>
      </c>
      <c r="E30" s="15">
        <v>0</v>
      </c>
      <c r="F30" s="2">
        <v>155192.402262989</v>
      </c>
      <c r="G30" s="15">
        <v>10656.674285208101</v>
      </c>
      <c r="H30" s="2">
        <v>1383923.3176993399</v>
      </c>
      <c r="I30" s="2">
        <v>583392.60144551203</v>
      </c>
      <c r="J30" s="2">
        <v>513104.60278692399</v>
      </c>
      <c r="K30" s="2">
        <v>225270.47111536301</v>
      </c>
      <c r="L30" s="2">
        <v>63642183.586545303</v>
      </c>
      <c r="M30" s="2">
        <v>12389755.2311274</v>
      </c>
      <c r="N30" s="15">
        <v>16428.131502690099</v>
      </c>
      <c r="O30" s="2">
        <v>21799349.9353594</v>
      </c>
      <c r="P30" s="2">
        <v>10391063.6836798</v>
      </c>
      <c r="Q30" s="2">
        <v>236412.00526597101</v>
      </c>
      <c r="R30" s="15">
        <v>67945.294275935899</v>
      </c>
      <c r="S30" s="2">
        <v>285473.238190473</v>
      </c>
      <c r="T30" s="2">
        <v>9328565.5094254501</v>
      </c>
    </row>
    <row r="31" spans="1:20" x14ac:dyDescent="0.2">
      <c r="A31" s="1" t="s">
        <v>49</v>
      </c>
      <c r="B31" s="2">
        <v>2995179.7760427701</v>
      </c>
      <c r="C31" s="2">
        <v>1326156.8200233199</v>
      </c>
      <c r="D31" s="15">
        <v>0</v>
      </c>
      <c r="E31" s="15">
        <v>0</v>
      </c>
      <c r="F31" s="2">
        <v>173544.124945018</v>
      </c>
      <c r="G31" s="15">
        <v>8100.5458065639596</v>
      </c>
      <c r="H31" s="2">
        <v>1856942.4665552501</v>
      </c>
      <c r="I31" s="2">
        <v>619226.12900192395</v>
      </c>
      <c r="J31" s="2">
        <v>459266.87626026699</v>
      </c>
      <c r="K31" s="2">
        <v>217001.81715831999</v>
      </c>
      <c r="L31" s="2">
        <v>84842238.707176507</v>
      </c>
      <c r="M31" s="2">
        <v>12285353.833523599</v>
      </c>
      <c r="N31" s="15">
        <v>65213.778042553698</v>
      </c>
      <c r="O31" s="2">
        <v>23041411.2084186</v>
      </c>
      <c r="P31" s="2">
        <v>8900640.8099870998</v>
      </c>
      <c r="Q31" s="2">
        <v>226316.51224611199</v>
      </c>
      <c r="R31" s="15">
        <v>71419.372442805397</v>
      </c>
      <c r="S31" s="2">
        <v>312709.78518101998</v>
      </c>
      <c r="T31" s="2">
        <v>9316103.47175299</v>
      </c>
    </row>
    <row r="32" spans="1:20" x14ac:dyDescent="0.2">
      <c r="A32" s="1" t="s">
        <v>50</v>
      </c>
      <c r="B32" s="2">
        <v>40437040.503075697</v>
      </c>
      <c r="C32" s="2">
        <v>935333.21846583695</v>
      </c>
      <c r="D32" s="2">
        <v>265458.89494206</v>
      </c>
      <c r="E32" s="15">
        <v>369.21694255914599</v>
      </c>
      <c r="F32" s="2">
        <v>237883.73429436499</v>
      </c>
      <c r="G32" s="15">
        <v>30012.919964242501</v>
      </c>
      <c r="H32" s="2">
        <v>2042721.64937457</v>
      </c>
      <c r="I32" s="2">
        <v>806727.56519571797</v>
      </c>
      <c r="J32" s="2">
        <v>424097.77174690401</v>
      </c>
      <c r="K32" s="2">
        <v>252233.43473370399</v>
      </c>
      <c r="L32" s="2">
        <v>2448980.7515723398</v>
      </c>
      <c r="M32" s="2">
        <v>15542370.0919223</v>
      </c>
      <c r="N32" s="15">
        <v>139065.851102393</v>
      </c>
      <c r="O32" s="2">
        <v>10077501.418870701</v>
      </c>
      <c r="P32" s="2">
        <v>24237686.706335898</v>
      </c>
      <c r="Q32" s="2">
        <v>248222.64499910601</v>
      </c>
      <c r="R32" s="15">
        <v>48118.466372036797</v>
      </c>
      <c r="S32" s="2">
        <v>363089.11512716999</v>
      </c>
      <c r="T32" s="2">
        <v>13019964.860041101</v>
      </c>
    </row>
    <row r="33" spans="1:20" x14ac:dyDescent="0.2">
      <c r="A33" s="1" t="s">
        <v>51</v>
      </c>
      <c r="B33" s="2">
        <v>53171500.868527398</v>
      </c>
      <c r="C33" s="2">
        <v>1062994.35362044</v>
      </c>
      <c r="D33" s="2">
        <v>249768.596456367</v>
      </c>
      <c r="E33" s="15">
        <v>0</v>
      </c>
      <c r="F33" s="2">
        <v>263550.39670361002</v>
      </c>
      <c r="G33" s="15">
        <v>23238.783770857699</v>
      </c>
      <c r="H33" s="2">
        <v>2321983.3407479399</v>
      </c>
      <c r="I33" s="2">
        <v>1018388.77951761</v>
      </c>
      <c r="J33" s="2">
        <v>476533.522489772</v>
      </c>
      <c r="K33" s="2">
        <v>269918.72066324</v>
      </c>
      <c r="L33" s="2">
        <v>3504328.2820874299</v>
      </c>
      <c r="M33" s="2">
        <v>18354291.721043698</v>
      </c>
      <c r="N33" s="15">
        <v>104519.40293544601</v>
      </c>
      <c r="O33" s="2">
        <v>11121090.1020783</v>
      </c>
      <c r="P33" s="2">
        <v>27150365.789866701</v>
      </c>
      <c r="Q33" s="2">
        <v>246599.15945715099</v>
      </c>
      <c r="R33" s="15">
        <v>91546.447317831306</v>
      </c>
      <c r="S33" s="2">
        <v>431338.22616445698</v>
      </c>
      <c r="T33" s="2">
        <v>12319928.687161</v>
      </c>
    </row>
    <row r="34" spans="1:20" x14ac:dyDescent="0.2">
      <c r="A34" s="1" t="s">
        <v>52</v>
      </c>
      <c r="B34" s="2">
        <v>43974790.236830197</v>
      </c>
      <c r="C34" s="2">
        <v>808491.29264439305</v>
      </c>
      <c r="D34" s="2">
        <v>287896.36348938401</v>
      </c>
      <c r="E34" s="15">
        <v>0</v>
      </c>
      <c r="F34" s="2">
        <v>264745.30337508197</v>
      </c>
      <c r="G34" s="15">
        <v>29540.6501835198</v>
      </c>
      <c r="H34" s="2">
        <v>2427311.4667738699</v>
      </c>
      <c r="I34" s="2">
        <v>778605.26572733105</v>
      </c>
      <c r="J34" s="2">
        <v>442431.31586440798</v>
      </c>
      <c r="K34" s="2">
        <v>265756.46646742598</v>
      </c>
      <c r="L34" s="2">
        <v>3879184.8699920801</v>
      </c>
      <c r="M34" s="2">
        <v>16991295.812380999</v>
      </c>
      <c r="N34" s="15">
        <v>106943.777212386</v>
      </c>
      <c r="O34" s="2">
        <v>11156038.8803121</v>
      </c>
      <c r="P34" s="2">
        <v>32359110.664359</v>
      </c>
      <c r="Q34" s="2">
        <v>277398.795228437</v>
      </c>
      <c r="R34" s="15">
        <v>80599.385626175004</v>
      </c>
      <c r="S34" s="2">
        <v>423205.027478965</v>
      </c>
      <c r="T34" s="2">
        <v>12286210.5000176</v>
      </c>
    </row>
    <row r="35" spans="1:20" x14ac:dyDescent="0.2">
      <c r="A35" s="1" t="s">
        <v>53</v>
      </c>
      <c r="B35" s="2">
        <v>2997199.3551998599</v>
      </c>
      <c r="C35" s="2">
        <v>10339279.838909401</v>
      </c>
      <c r="D35" s="2">
        <v>3841475.2478651898</v>
      </c>
      <c r="E35" s="15">
        <v>0</v>
      </c>
      <c r="F35" s="2">
        <v>188514.32715988799</v>
      </c>
      <c r="G35" s="15">
        <v>19682.091318456602</v>
      </c>
      <c r="H35" s="2">
        <v>1582959.06850614</v>
      </c>
      <c r="I35" s="2">
        <v>761401.272677831</v>
      </c>
      <c r="J35" s="2">
        <v>325913.53418075101</v>
      </c>
      <c r="K35" s="2">
        <v>372676.51526096102</v>
      </c>
      <c r="L35" s="2">
        <v>2373773.8406250998</v>
      </c>
      <c r="M35" s="2">
        <v>27669511.838989701</v>
      </c>
      <c r="N35" s="15">
        <v>28067.307254474799</v>
      </c>
      <c r="O35" s="2">
        <v>8756636.8788624909</v>
      </c>
      <c r="P35" s="2">
        <v>20686990.097898599</v>
      </c>
      <c r="Q35" s="2">
        <v>299121.70652882202</v>
      </c>
      <c r="R35" s="15">
        <v>53008.318935155599</v>
      </c>
      <c r="S35" s="2">
        <v>264567.19232578902</v>
      </c>
      <c r="T35" s="2">
        <v>10168879.801859001</v>
      </c>
    </row>
    <row r="36" spans="1:20" x14ac:dyDescent="0.2">
      <c r="A36" s="1" t="s">
        <v>54</v>
      </c>
      <c r="B36" s="2">
        <v>30013361.2584447</v>
      </c>
      <c r="C36" s="2">
        <v>4441669.5865287296</v>
      </c>
      <c r="D36" s="2">
        <v>3612506.1262693298</v>
      </c>
      <c r="E36" s="15">
        <v>0</v>
      </c>
      <c r="F36" s="2">
        <v>224781.075250186</v>
      </c>
      <c r="G36" s="15">
        <v>20716.258782571</v>
      </c>
      <c r="H36" s="2">
        <v>2299238.15558297</v>
      </c>
      <c r="I36" s="2">
        <v>969379.83338856394</v>
      </c>
      <c r="J36" s="2">
        <v>410224.79413745902</v>
      </c>
      <c r="K36" s="2">
        <v>415347.05033698602</v>
      </c>
      <c r="L36" s="2">
        <v>2446283.0841640602</v>
      </c>
      <c r="M36" s="2">
        <v>31200023.021917202</v>
      </c>
      <c r="N36" s="15">
        <v>55167.250664925501</v>
      </c>
      <c r="O36" s="2">
        <v>9491844.7040435299</v>
      </c>
      <c r="P36" s="2">
        <v>24547435.4760915</v>
      </c>
      <c r="Q36" s="2">
        <v>300677.298537125</v>
      </c>
      <c r="R36" s="15">
        <v>63890.7019469183</v>
      </c>
      <c r="S36" s="2">
        <v>379443.64529555402</v>
      </c>
      <c r="T36" s="2">
        <v>10945033.981566099</v>
      </c>
    </row>
    <row r="37" spans="1:20" x14ac:dyDescent="0.2">
      <c r="A37" s="1" t="s">
        <v>55</v>
      </c>
      <c r="B37" s="2">
        <v>39778672.033433698</v>
      </c>
      <c r="C37" s="2">
        <v>8757185.7376716007</v>
      </c>
      <c r="D37" s="2">
        <v>6385572.6537453197</v>
      </c>
      <c r="E37" s="15">
        <v>0</v>
      </c>
      <c r="F37" s="2">
        <v>232232.564555041</v>
      </c>
      <c r="G37" s="15">
        <v>23848.7398759547</v>
      </c>
      <c r="H37" s="2">
        <v>2341526.36356339</v>
      </c>
      <c r="I37" s="2">
        <v>757695.88819759199</v>
      </c>
      <c r="J37" s="2">
        <v>460217.12830350699</v>
      </c>
      <c r="K37" s="2">
        <v>464124.440051143</v>
      </c>
      <c r="L37" s="2">
        <v>2925030.4901701901</v>
      </c>
      <c r="M37" s="2">
        <v>33517003.8285424</v>
      </c>
      <c r="N37" s="15">
        <v>45269.437703262403</v>
      </c>
      <c r="O37" s="2">
        <v>8838713.5776434802</v>
      </c>
      <c r="P37" s="2">
        <v>22355548.703382999</v>
      </c>
      <c r="Q37" s="2">
        <v>338947.415003156</v>
      </c>
      <c r="R37" s="15">
        <v>74055.059716159201</v>
      </c>
      <c r="S37" s="2">
        <v>397611.60173719598</v>
      </c>
      <c r="T37" s="2">
        <v>11270699.7024043</v>
      </c>
    </row>
    <row r="38" spans="1:20" x14ac:dyDescent="0.2">
      <c r="A38" s="1" t="s">
        <v>56</v>
      </c>
      <c r="B38" s="2">
        <v>49065509.163968198</v>
      </c>
      <c r="C38" s="2">
        <v>10954547.3829356</v>
      </c>
      <c r="D38" s="2">
        <v>449691.17932503601</v>
      </c>
      <c r="E38" s="15">
        <v>0</v>
      </c>
      <c r="F38" s="2">
        <v>695147.69601642003</v>
      </c>
      <c r="G38" s="2">
        <v>110680.419850808</v>
      </c>
      <c r="H38" s="2">
        <v>14534649.443150301</v>
      </c>
      <c r="I38" s="2">
        <v>6265026.27404691</v>
      </c>
      <c r="J38" s="2">
        <v>465213.99237915099</v>
      </c>
      <c r="K38" s="2">
        <v>755874.240303069</v>
      </c>
      <c r="L38" s="2">
        <v>9754415.0671290904</v>
      </c>
      <c r="M38" s="2">
        <v>87396076.407865494</v>
      </c>
      <c r="N38" s="2">
        <v>519440.00104250101</v>
      </c>
      <c r="O38" s="2">
        <v>36118498.114382997</v>
      </c>
      <c r="P38" s="2">
        <v>86380075.431388393</v>
      </c>
      <c r="Q38" s="2">
        <v>968772.01205787901</v>
      </c>
      <c r="R38" s="2">
        <v>238831.566852124</v>
      </c>
      <c r="S38" s="2">
        <v>1081237.41375571</v>
      </c>
      <c r="T38" s="2">
        <v>14309997.6597696</v>
      </c>
    </row>
    <row r="39" spans="1:20" x14ac:dyDescent="0.2">
      <c r="A39" s="1" t="s">
        <v>57</v>
      </c>
      <c r="B39" s="2">
        <v>35860319.762512602</v>
      </c>
      <c r="C39" s="2">
        <v>10667487.743461199</v>
      </c>
      <c r="D39" s="2">
        <v>605502.66812771605</v>
      </c>
      <c r="E39" s="15">
        <v>0</v>
      </c>
      <c r="F39" s="2">
        <v>749881.80633489299</v>
      </c>
      <c r="G39" s="2">
        <v>136937.149577756</v>
      </c>
      <c r="H39" s="2">
        <v>15819685.793046501</v>
      </c>
      <c r="I39" s="2">
        <v>10399949.54837</v>
      </c>
      <c r="J39" s="2">
        <v>576230.52607335802</v>
      </c>
      <c r="K39" s="2">
        <v>911826.77962501603</v>
      </c>
      <c r="L39" s="2">
        <v>11893697.630399199</v>
      </c>
      <c r="M39" s="2">
        <v>91633243.803942695</v>
      </c>
      <c r="N39" s="2">
        <v>579483.46487029595</v>
      </c>
      <c r="O39" s="2">
        <v>42036206.301402099</v>
      </c>
      <c r="P39" s="2">
        <v>90372049.121517196</v>
      </c>
      <c r="Q39" s="2">
        <v>1039881.99664264</v>
      </c>
      <c r="R39" s="2">
        <v>248451.05247773201</v>
      </c>
      <c r="S39" s="2">
        <v>1166690.1617318101</v>
      </c>
      <c r="T39" s="2">
        <v>8323033.8674090002</v>
      </c>
    </row>
    <row r="40" spans="1:20" x14ac:dyDescent="0.2">
      <c r="A40" s="1" t="s">
        <v>58</v>
      </c>
      <c r="B40" s="2">
        <v>82016514.257777601</v>
      </c>
      <c r="C40" s="2">
        <v>8528894.9911861494</v>
      </c>
      <c r="D40" s="2">
        <v>637557.87497022399</v>
      </c>
      <c r="E40" s="15">
        <v>0</v>
      </c>
      <c r="F40" s="2">
        <v>854520.19344215805</v>
      </c>
      <c r="G40" s="2">
        <v>109701.09654384101</v>
      </c>
      <c r="H40" s="2">
        <v>15739988.0466328</v>
      </c>
      <c r="I40" s="2">
        <v>8003388.8684200495</v>
      </c>
      <c r="J40" s="2">
        <v>854769.24885469</v>
      </c>
      <c r="K40" s="2">
        <v>838391.04635523795</v>
      </c>
      <c r="L40" s="2">
        <v>12521087.819121299</v>
      </c>
      <c r="M40" s="2">
        <v>100454512.773655</v>
      </c>
      <c r="N40" s="2">
        <v>796272.59912239504</v>
      </c>
      <c r="O40" s="2">
        <v>40261833.3830209</v>
      </c>
      <c r="P40" s="2">
        <v>82036255.151703596</v>
      </c>
      <c r="Q40" s="2">
        <v>993309.11601460201</v>
      </c>
      <c r="R40" s="2">
        <v>283153.88579995802</v>
      </c>
      <c r="S40" s="2">
        <v>1517262.2556720099</v>
      </c>
      <c r="T40" s="2">
        <v>13830433.756376199</v>
      </c>
    </row>
    <row r="41" spans="1:20" x14ac:dyDescent="0.2">
      <c r="A41" s="1" t="s">
        <v>59</v>
      </c>
      <c r="B41" s="15">
        <v>37356.916743844398</v>
      </c>
      <c r="C41" s="2">
        <v>440310.43727160402</v>
      </c>
      <c r="D41" s="15">
        <v>0</v>
      </c>
      <c r="E41" s="15">
        <v>0</v>
      </c>
      <c r="F41" s="2">
        <v>192179.19171394699</v>
      </c>
      <c r="G41" s="15">
        <v>12904.184124438299</v>
      </c>
      <c r="H41" s="2">
        <v>3487189.7119300198</v>
      </c>
      <c r="I41" s="2">
        <v>4672307.4299331596</v>
      </c>
      <c r="J41" s="2">
        <v>1354332.4256657001</v>
      </c>
      <c r="K41" s="2">
        <v>144863.21718194699</v>
      </c>
      <c r="L41" s="2">
        <v>273488644.154634</v>
      </c>
      <c r="M41" s="2">
        <v>11075686.309384299</v>
      </c>
      <c r="N41" s="2">
        <v>291319.79592120502</v>
      </c>
      <c r="O41" s="2">
        <v>66351048.388438404</v>
      </c>
      <c r="P41" s="2">
        <v>17852910.9678494</v>
      </c>
      <c r="Q41" s="2">
        <v>512975.96888936497</v>
      </c>
      <c r="R41" s="15">
        <v>32170.662097418899</v>
      </c>
      <c r="S41" s="2">
        <v>711760.52857967105</v>
      </c>
      <c r="T41" s="2">
        <v>17744703.7230459</v>
      </c>
    </row>
    <row r="42" spans="1:20" x14ac:dyDescent="0.2">
      <c r="A42" s="1" t="s">
        <v>60</v>
      </c>
      <c r="B42" s="2">
        <v>2759326.92491335</v>
      </c>
      <c r="C42" s="2">
        <v>483772.88100432302</v>
      </c>
      <c r="D42" s="15">
        <v>0</v>
      </c>
      <c r="E42" s="15">
        <v>0</v>
      </c>
      <c r="F42" s="2">
        <v>161211.481203615</v>
      </c>
      <c r="G42" s="15">
        <v>8837.0267320216099</v>
      </c>
      <c r="H42" s="2">
        <v>3742957.5212996202</v>
      </c>
      <c r="I42" s="2">
        <v>6138684.1207984099</v>
      </c>
      <c r="J42" s="2">
        <v>1027461.74561546</v>
      </c>
      <c r="K42" s="2">
        <v>113045.432795352</v>
      </c>
      <c r="L42" s="2">
        <v>189796398.75817201</v>
      </c>
      <c r="M42" s="2">
        <v>8675988.8762384001</v>
      </c>
      <c r="N42" s="2">
        <v>467373.33270843601</v>
      </c>
      <c r="O42" s="2">
        <v>64103291.910143502</v>
      </c>
      <c r="P42" s="2">
        <v>20122798.719431199</v>
      </c>
      <c r="Q42" s="2">
        <v>354458.81644802098</v>
      </c>
      <c r="R42" s="15">
        <v>11653.395395499399</v>
      </c>
      <c r="S42" s="2">
        <v>677040.25867476605</v>
      </c>
      <c r="T42" s="2">
        <v>16446573.329870701</v>
      </c>
    </row>
    <row r="43" spans="1:20" x14ac:dyDescent="0.2">
      <c r="A43" s="1" t="s">
        <v>61</v>
      </c>
      <c r="B43" s="2">
        <v>1531914.4937991099</v>
      </c>
      <c r="C43" s="2">
        <v>1349748.46361239</v>
      </c>
      <c r="D43" s="15">
        <v>0</v>
      </c>
      <c r="E43" s="15">
        <v>0</v>
      </c>
      <c r="F43" s="15">
        <v>72693.956454158993</v>
      </c>
      <c r="G43" s="15">
        <v>2097.0452422920898</v>
      </c>
      <c r="H43" s="2">
        <v>1627449.2079195001</v>
      </c>
      <c r="I43" s="2">
        <v>1605483.61886311</v>
      </c>
      <c r="J43" s="15">
        <v>466527.402308352</v>
      </c>
      <c r="K43" s="15">
        <v>66185.571239728903</v>
      </c>
      <c r="L43" s="2">
        <v>89241915.258172795</v>
      </c>
      <c r="M43" s="2">
        <v>3915131.28792573</v>
      </c>
      <c r="N43" s="15">
        <v>190761.41490698399</v>
      </c>
      <c r="O43" s="2">
        <v>29710455.505877201</v>
      </c>
      <c r="P43" s="2">
        <v>14979410.776144501</v>
      </c>
      <c r="Q43" s="2">
        <v>173299.11379135301</v>
      </c>
      <c r="R43" s="15">
        <v>0</v>
      </c>
      <c r="S43" s="2">
        <v>233578.41098017999</v>
      </c>
      <c r="T43" s="2">
        <v>12103389.048917601</v>
      </c>
    </row>
    <row r="44" spans="1:20" x14ac:dyDescent="0.2">
      <c r="A44" s="1" t="s">
        <v>62</v>
      </c>
      <c r="B44" s="2">
        <v>112193193.417037</v>
      </c>
      <c r="C44" s="2">
        <v>432366.081559374</v>
      </c>
      <c r="D44" s="2">
        <v>1555249.0439925599</v>
      </c>
      <c r="E44" s="15">
        <v>0</v>
      </c>
      <c r="F44" s="2">
        <v>724376.69443179795</v>
      </c>
      <c r="G44" s="15">
        <v>92400.965991008503</v>
      </c>
      <c r="H44" s="2">
        <v>2585865.85277736</v>
      </c>
      <c r="I44" s="2">
        <v>4602668.8656196203</v>
      </c>
      <c r="J44" s="2">
        <v>916467.61783526302</v>
      </c>
      <c r="K44" s="2">
        <v>148509.906217916</v>
      </c>
      <c r="L44" s="2">
        <v>5987862.0886752</v>
      </c>
      <c r="M44" s="2">
        <v>10068613.3428353</v>
      </c>
      <c r="N44" s="2">
        <v>570233.97942622204</v>
      </c>
      <c r="O44" s="2">
        <v>26301587.839203302</v>
      </c>
      <c r="P44" s="2">
        <v>59923577.5703438</v>
      </c>
      <c r="Q44" s="2">
        <v>545891.53136841697</v>
      </c>
      <c r="R44" s="15">
        <v>11725.574411578</v>
      </c>
      <c r="S44" s="2">
        <v>671940.47484935599</v>
      </c>
      <c r="T44" s="2">
        <v>20001236.4634073</v>
      </c>
    </row>
    <row r="45" spans="1:20" x14ac:dyDescent="0.2">
      <c r="A45" s="1" t="s">
        <v>63</v>
      </c>
      <c r="B45" s="2">
        <v>71094932.568341002</v>
      </c>
      <c r="C45" s="2">
        <v>580452.77610993595</v>
      </c>
      <c r="D45" s="2">
        <v>1264136.45787751</v>
      </c>
      <c r="E45" s="15">
        <v>0</v>
      </c>
      <c r="F45" s="2">
        <v>761535.107389463</v>
      </c>
      <c r="G45" s="15">
        <v>79241.399898935604</v>
      </c>
      <c r="H45" s="2">
        <v>2948109.4008278102</v>
      </c>
      <c r="I45" s="2">
        <v>7407962.2053871304</v>
      </c>
      <c r="J45" s="2">
        <v>948851.62814958801</v>
      </c>
      <c r="K45" s="2">
        <v>151539.41372971001</v>
      </c>
      <c r="L45" s="2">
        <v>6582675.4427088099</v>
      </c>
      <c r="M45" s="2">
        <v>11020691.1487645</v>
      </c>
      <c r="N45" s="2">
        <v>694147.33129692497</v>
      </c>
      <c r="O45" s="2">
        <v>29815749.317777202</v>
      </c>
      <c r="P45" s="2">
        <v>59179842.229428098</v>
      </c>
      <c r="Q45" s="2">
        <v>506919.46511275502</v>
      </c>
      <c r="R45" s="15">
        <v>34879.485449571301</v>
      </c>
      <c r="S45" s="2">
        <v>810247.51842611702</v>
      </c>
      <c r="T45" s="2">
        <v>20186519.8993042</v>
      </c>
    </row>
    <row r="46" spans="1:20" x14ac:dyDescent="0.2">
      <c r="A46" s="1" t="s">
        <v>64</v>
      </c>
      <c r="B46" s="2">
        <v>63633126.400472</v>
      </c>
      <c r="C46" s="2">
        <v>1281544.6343018401</v>
      </c>
      <c r="D46" s="2">
        <v>1398268.10274063</v>
      </c>
      <c r="E46" s="15">
        <v>0</v>
      </c>
      <c r="F46" s="2">
        <v>734902.49134999304</v>
      </c>
      <c r="G46" s="15">
        <v>85080.745146532805</v>
      </c>
      <c r="H46" s="2">
        <v>2854996.2386761401</v>
      </c>
      <c r="I46" s="2">
        <v>3810560.0332567799</v>
      </c>
      <c r="J46" s="2">
        <v>1035144.19498741</v>
      </c>
      <c r="K46" s="2">
        <v>153481.41112528701</v>
      </c>
      <c r="L46" s="2">
        <v>6637984.1111090798</v>
      </c>
      <c r="M46" s="2">
        <v>11502438.3935</v>
      </c>
      <c r="N46" s="2">
        <v>571658.770213802</v>
      </c>
      <c r="O46" s="2">
        <v>25961293.373795301</v>
      </c>
      <c r="P46" s="2">
        <v>78526609.821609601</v>
      </c>
      <c r="Q46" s="2">
        <v>622010.71490386198</v>
      </c>
      <c r="R46" s="15">
        <v>24185.143017341801</v>
      </c>
      <c r="S46" s="2">
        <v>727364.35575258394</v>
      </c>
      <c r="T46" s="2">
        <v>20154077.110865701</v>
      </c>
    </row>
    <row r="47" spans="1:20" x14ac:dyDescent="0.2">
      <c r="A47" s="1" t="s">
        <v>65</v>
      </c>
      <c r="B47" s="2">
        <v>56663816.082102403</v>
      </c>
      <c r="C47" s="2">
        <v>32649228.5001227</v>
      </c>
      <c r="D47" s="2">
        <v>8730164.2657754198</v>
      </c>
      <c r="E47" s="15">
        <v>0</v>
      </c>
      <c r="F47" s="2">
        <v>704854.05529996799</v>
      </c>
      <c r="G47" s="15">
        <v>84480.3190456671</v>
      </c>
      <c r="H47" s="2">
        <v>9520028.8532514796</v>
      </c>
      <c r="I47" s="2">
        <v>4757103.4060853701</v>
      </c>
      <c r="J47" s="2">
        <v>842527.00391177903</v>
      </c>
      <c r="K47" s="2">
        <v>932772.08228521096</v>
      </c>
      <c r="L47" s="2">
        <v>6514587.3233632399</v>
      </c>
      <c r="M47" s="2">
        <v>99487111.053176403</v>
      </c>
      <c r="N47" s="2">
        <v>567452.43998388096</v>
      </c>
      <c r="O47" s="2">
        <v>26051318.9931468</v>
      </c>
      <c r="P47" s="2">
        <v>57813201.8440708</v>
      </c>
      <c r="Q47" s="2">
        <v>1059545.4700269599</v>
      </c>
      <c r="R47" s="2">
        <v>257520.81394447701</v>
      </c>
      <c r="S47" s="2">
        <v>1146729.2141690999</v>
      </c>
      <c r="T47" s="2">
        <v>16570383.532107901</v>
      </c>
    </row>
    <row r="48" spans="1:20" x14ac:dyDescent="0.2">
      <c r="A48" s="1" t="s">
        <v>66</v>
      </c>
      <c r="B48" s="2">
        <v>35922125.625345498</v>
      </c>
      <c r="C48" s="2">
        <v>22996713.336340498</v>
      </c>
      <c r="D48" s="2">
        <v>4084057.7865399201</v>
      </c>
      <c r="E48" s="15">
        <v>0</v>
      </c>
      <c r="F48" s="2">
        <v>575218.18079912802</v>
      </c>
      <c r="G48" s="15">
        <v>62684.481801279602</v>
      </c>
      <c r="H48" s="2">
        <v>8034142.0112109398</v>
      </c>
      <c r="I48" s="2">
        <v>5829780.2391451504</v>
      </c>
      <c r="J48" s="2">
        <v>677898.85294814</v>
      </c>
      <c r="K48" s="2">
        <v>797993.70157194196</v>
      </c>
      <c r="L48" s="2">
        <v>6658957.4768642904</v>
      </c>
      <c r="M48" s="2">
        <v>86385476.9304865</v>
      </c>
      <c r="N48" s="2">
        <v>366330.32250672998</v>
      </c>
      <c r="O48" s="2">
        <v>25519517.251104299</v>
      </c>
      <c r="P48" s="2">
        <v>57512488.135609403</v>
      </c>
      <c r="Q48" s="2">
        <v>800585.23655728099</v>
      </c>
      <c r="R48" s="2">
        <v>172219.78220760301</v>
      </c>
      <c r="S48" s="2">
        <v>1113946.00008763</v>
      </c>
      <c r="T48" s="2">
        <v>14794524.0998208</v>
      </c>
    </row>
    <row r="49" spans="1:20" x14ac:dyDescent="0.2">
      <c r="A49" s="1" t="s">
        <v>67</v>
      </c>
      <c r="B49" s="2">
        <v>48586524.220381998</v>
      </c>
      <c r="C49" s="2">
        <v>28184082.5466947</v>
      </c>
      <c r="D49" s="2">
        <v>5431992.1338069504</v>
      </c>
      <c r="E49" s="15">
        <v>0</v>
      </c>
      <c r="F49" s="2">
        <v>642789.43376128504</v>
      </c>
      <c r="G49" s="15">
        <v>70519.232934703003</v>
      </c>
      <c r="H49" s="2">
        <v>8802698.6832430493</v>
      </c>
      <c r="I49" s="2">
        <v>4670280.7697905004</v>
      </c>
      <c r="J49" s="2">
        <v>794699.81300575298</v>
      </c>
      <c r="K49" s="2">
        <v>834846.13164884597</v>
      </c>
      <c r="L49" s="2">
        <v>4511513.4443122502</v>
      </c>
      <c r="M49" s="2">
        <v>82546127.941185907</v>
      </c>
      <c r="N49" s="2">
        <v>469999.48219175398</v>
      </c>
      <c r="O49" s="2">
        <v>21848649.701492298</v>
      </c>
      <c r="P49" s="2">
        <v>51798685.269922704</v>
      </c>
      <c r="Q49" s="2">
        <v>808703.54998351203</v>
      </c>
      <c r="R49" s="2">
        <v>195080.11511028299</v>
      </c>
      <c r="S49" s="2">
        <v>1095934.6455540201</v>
      </c>
      <c r="T49" s="2">
        <v>15547619.422243601</v>
      </c>
    </row>
    <row r="50" spans="1:20" ht="14.25" customHeight="1" x14ac:dyDescent="0.2">
      <c r="A50" s="1" t="s">
        <v>68</v>
      </c>
      <c r="B50" s="2">
        <v>204201639.08664</v>
      </c>
      <c r="C50" s="2">
        <v>499664326.946854</v>
      </c>
      <c r="D50" s="2">
        <v>3974734.2194124698</v>
      </c>
      <c r="E50" s="15">
        <v>0</v>
      </c>
      <c r="F50" s="15">
        <v>6236.0553899894803</v>
      </c>
      <c r="G50" s="15">
        <v>1271.98014671639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1748.65192603848</v>
      </c>
      <c r="P50" s="15">
        <v>656.74543525885804</v>
      </c>
      <c r="Q50" s="15">
        <v>0</v>
      </c>
      <c r="R50" s="15">
        <v>0</v>
      </c>
      <c r="S50" s="15">
        <v>0</v>
      </c>
      <c r="T50" s="15">
        <v>9778.3793814564706</v>
      </c>
    </row>
    <row r="51" spans="1:20" x14ac:dyDescent="0.2">
      <c r="A51" s="1" t="s">
        <v>69</v>
      </c>
      <c r="B51" s="2">
        <v>214734640.84603399</v>
      </c>
      <c r="C51" s="2">
        <v>581286934.26025796</v>
      </c>
      <c r="D51" s="2">
        <v>4447746.6935854303</v>
      </c>
      <c r="E51" s="15">
        <v>0</v>
      </c>
      <c r="F51" s="15">
        <v>8026.4619418169405</v>
      </c>
      <c r="G51" s="15">
        <v>0</v>
      </c>
      <c r="H51" s="15">
        <v>0</v>
      </c>
      <c r="I51" s="15">
        <v>6276.4694328966398</v>
      </c>
      <c r="J51" s="15">
        <v>0</v>
      </c>
      <c r="K51" s="15">
        <v>6228.7324912335298</v>
      </c>
      <c r="L51" s="15">
        <v>0</v>
      </c>
      <c r="M51" s="15">
        <v>0</v>
      </c>
      <c r="N51" s="15">
        <v>0</v>
      </c>
      <c r="O51" s="15">
        <v>1907.48668497012</v>
      </c>
      <c r="P51" s="15">
        <v>451.79640830267698</v>
      </c>
      <c r="Q51" s="15">
        <v>0</v>
      </c>
      <c r="R51" s="15">
        <v>0</v>
      </c>
      <c r="S51" s="15">
        <v>1234.010486379</v>
      </c>
      <c r="T51" s="15">
        <v>4059.0446362061298</v>
      </c>
    </row>
    <row r="52" spans="1:20" x14ac:dyDescent="0.2">
      <c r="A52" s="1" t="s">
        <v>70</v>
      </c>
      <c r="B52" s="2">
        <v>103674435.39576399</v>
      </c>
      <c r="C52" s="2">
        <v>342733537.64142799</v>
      </c>
      <c r="D52" s="2">
        <v>2168142.4467864502</v>
      </c>
      <c r="E52" s="15">
        <v>0</v>
      </c>
      <c r="F52" s="15">
        <v>0</v>
      </c>
      <c r="G52" s="15">
        <v>0</v>
      </c>
      <c r="H52" s="15">
        <v>0</v>
      </c>
      <c r="I52" s="15">
        <v>4504.19605904742</v>
      </c>
      <c r="J52" s="15">
        <v>0</v>
      </c>
      <c r="K52" s="15">
        <v>3254.6809569157699</v>
      </c>
      <c r="L52" s="15">
        <v>0</v>
      </c>
      <c r="M52" s="15">
        <v>0</v>
      </c>
      <c r="N52" s="15">
        <v>0</v>
      </c>
      <c r="O52" s="15">
        <v>1354.86483846537</v>
      </c>
      <c r="P52" s="15">
        <v>1387.5191688257</v>
      </c>
      <c r="Q52" s="15">
        <v>0</v>
      </c>
      <c r="R52" s="15">
        <v>0</v>
      </c>
      <c r="S52" s="15">
        <v>0</v>
      </c>
      <c r="T52" s="15">
        <v>17747.674386784998</v>
      </c>
    </row>
    <row r="53" spans="1:20" x14ac:dyDescent="0.2">
      <c r="A53" s="1" t="s">
        <v>71</v>
      </c>
      <c r="B53" s="2">
        <v>2590849.8004232598</v>
      </c>
      <c r="C53" s="2">
        <v>1080779.47350132</v>
      </c>
      <c r="D53" s="15">
        <v>0</v>
      </c>
      <c r="E53" s="15">
        <v>0</v>
      </c>
      <c r="F53" s="15">
        <v>8565.8085840943295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686.15883897130402</v>
      </c>
      <c r="P53" s="15">
        <v>834.09181112300303</v>
      </c>
      <c r="Q53" s="15">
        <v>0</v>
      </c>
      <c r="R53" s="15">
        <v>0</v>
      </c>
      <c r="S53" s="15">
        <v>0</v>
      </c>
      <c r="T53" s="15">
        <v>7854.7557192516797</v>
      </c>
    </row>
    <row r="54" spans="1:20" x14ac:dyDescent="0.2">
      <c r="A54" s="1" t="s">
        <v>72</v>
      </c>
      <c r="B54" s="2">
        <v>2398577.5741173001</v>
      </c>
      <c r="C54" s="2">
        <v>1039782.86615349</v>
      </c>
      <c r="D54" s="15">
        <v>0</v>
      </c>
      <c r="E54" s="15">
        <v>0</v>
      </c>
      <c r="F54" s="15">
        <v>7300.4738255453003</v>
      </c>
      <c r="G54" s="15">
        <v>0</v>
      </c>
      <c r="H54" s="15">
        <v>0</v>
      </c>
      <c r="I54" s="15">
        <v>7774.0101507406798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1254.5184982492301</v>
      </c>
      <c r="P54" s="15">
        <v>2997.5207415756099</v>
      </c>
      <c r="Q54" s="15">
        <v>0</v>
      </c>
      <c r="R54" s="15">
        <v>0</v>
      </c>
      <c r="S54" s="15">
        <v>0</v>
      </c>
      <c r="T54" s="15">
        <v>20884.357415926799</v>
      </c>
    </row>
    <row r="55" spans="1:20" x14ac:dyDescent="0.2">
      <c r="A55" s="1" t="s">
        <v>73</v>
      </c>
      <c r="B55" s="2">
        <v>2519326.8444785201</v>
      </c>
      <c r="C55" s="2">
        <v>859774.42067138897</v>
      </c>
      <c r="D55" s="15">
        <v>0</v>
      </c>
      <c r="E55" s="15">
        <v>342.89158085709499</v>
      </c>
      <c r="F55" s="15">
        <v>6549.9264964896702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1448.0454283465201</v>
      </c>
      <c r="P55" s="15">
        <v>2145.4080321188299</v>
      </c>
      <c r="Q55" s="15">
        <v>0</v>
      </c>
      <c r="R55" s="15">
        <v>0</v>
      </c>
      <c r="S55" s="15">
        <v>1160.6536667826399</v>
      </c>
      <c r="T55" s="15">
        <v>5227.9409184548604</v>
      </c>
    </row>
    <row r="56" spans="1:20" x14ac:dyDescent="0.2">
      <c r="A56" s="1" t="s">
        <v>74</v>
      </c>
      <c r="B56" s="2">
        <v>202740532.28472</v>
      </c>
      <c r="C56" s="2">
        <v>733273.87217140303</v>
      </c>
      <c r="D56" s="2">
        <v>7003631.9744069995</v>
      </c>
      <c r="E56" s="15">
        <v>0</v>
      </c>
      <c r="F56" s="15">
        <v>9805.7238708875193</v>
      </c>
      <c r="G56" s="15">
        <v>0</v>
      </c>
      <c r="H56" s="15">
        <v>0</v>
      </c>
      <c r="I56" s="15">
        <v>21207.512383612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731.42554074426198</v>
      </c>
      <c r="P56" s="15">
        <v>19464.552426063801</v>
      </c>
      <c r="Q56" s="15">
        <v>0</v>
      </c>
      <c r="R56" s="15">
        <v>0</v>
      </c>
      <c r="S56" s="15">
        <v>0</v>
      </c>
      <c r="T56" s="15">
        <v>3242.59623119862</v>
      </c>
    </row>
    <row r="57" spans="1:20" x14ac:dyDescent="0.2">
      <c r="A57" s="1" t="s">
        <v>75</v>
      </c>
      <c r="B57" s="2">
        <v>223360877.17012301</v>
      </c>
      <c r="C57" s="2">
        <v>799873.87869555305</v>
      </c>
      <c r="D57" s="2">
        <v>7278530.42871047</v>
      </c>
      <c r="E57" s="15">
        <v>0</v>
      </c>
      <c r="F57" s="15">
        <v>8339.9580395360008</v>
      </c>
      <c r="G57" s="15">
        <v>0</v>
      </c>
      <c r="H57" s="15">
        <v>0</v>
      </c>
      <c r="I57" s="15">
        <v>19775.3345421349</v>
      </c>
      <c r="J57" s="15">
        <v>0</v>
      </c>
      <c r="K57" s="15">
        <v>1200.4067069443299</v>
      </c>
      <c r="L57" s="15">
        <v>0</v>
      </c>
      <c r="M57" s="15">
        <v>0</v>
      </c>
      <c r="N57" s="15">
        <v>0</v>
      </c>
      <c r="O57" s="15">
        <v>7505.0645072645602</v>
      </c>
      <c r="P57" s="15">
        <v>0</v>
      </c>
      <c r="Q57" s="15">
        <v>0</v>
      </c>
      <c r="R57" s="15">
        <v>0</v>
      </c>
      <c r="S57" s="15">
        <v>0</v>
      </c>
      <c r="T57" s="15">
        <v>15727.2036094797</v>
      </c>
    </row>
    <row r="58" spans="1:20" x14ac:dyDescent="0.2">
      <c r="A58" s="1" t="s">
        <v>76</v>
      </c>
      <c r="B58" s="2">
        <v>252930243.079014</v>
      </c>
      <c r="C58" s="2">
        <v>574352.93482560595</v>
      </c>
      <c r="D58" s="2">
        <v>11774330.740718899</v>
      </c>
      <c r="E58" s="15">
        <v>0</v>
      </c>
      <c r="F58" s="15">
        <v>10479.985837382799</v>
      </c>
      <c r="G58" s="15">
        <v>826.39457574651999</v>
      </c>
      <c r="H58" s="15">
        <v>0</v>
      </c>
      <c r="I58" s="15">
        <v>47674.173651763202</v>
      </c>
      <c r="J58" s="15">
        <v>0</v>
      </c>
      <c r="K58" s="15">
        <v>1620.6546645815199</v>
      </c>
      <c r="L58" s="15">
        <v>5009.19249581857</v>
      </c>
      <c r="M58" s="15">
        <v>0</v>
      </c>
      <c r="N58" s="15">
        <v>22601.512603077499</v>
      </c>
      <c r="O58" s="15">
        <v>140515.43197061701</v>
      </c>
      <c r="P58" s="15">
        <v>215662.96955227901</v>
      </c>
      <c r="Q58" s="15">
        <v>882.261773491285</v>
      </c>
      <c r="R58" s="15">
        <v>0</v>
      </c>
      <c r="S58" s="15">
        <v>2447.0938230336901</v>
      </c>
      <c r="T58" s="15">
        <v>44926.486130941601</v>
      </c>
    </row>
    <row r="59" spans="1:20" x14ac:dyDescent="0.2">
      <c r="A59" s="1" t="s">
        <v>77</v>
      </c>
      <c r="B59" s="2">
        <v>88517435.571978301</v>
      </c>
      <c r="C59" s="2">
        <v>1172841700.89171</v>
      </c>
      <c r="D59" s="2">
        <v>42434029.160944402</v>
      </c>
      <c r="E59" s="15">
        <v>0</v>
      </c>
      <c r="F59" s="15">
        <v>6328.9431722311301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2393.7804691474498</v>
      </c>
      <c r="P59" s="15">
        <v>1458.3350726691399</v>
      </c>
      <c r="Q59" s="15">
        <v>0</v>
      </c>
      <c r="R59" s="15">
        <v>0</v>
      </c>
      <c r="S59" s="15">
        <v>0</v>
      </c>
      <c r="T59" s="15">
        <v>48944.480256943803</v>
      </c>
    </row>
    <row r="60" spans="1:20" x14ac:dyDescent="0.2">
      <c r="A60" s="1" t="s">
        <v>78</v>
      </c>
      <c r="B60" s="2">
        <v>77344078.582999706</v>
      </c>
      <c r="C60" s="2">
        <v>723797972.94532597</v>
      </c>
      <c r="D60" s="2">
        <v>32836730.283258699</v>
      </c>
      <c r="E60" s="15">
        <v>388.35910261906997</v>
      </c>
      <c r="F60" s="15">
        <v>7264.2483223682102</v>
      </c>
      <c r="G60" s="15">
        <v>0</v>
      </c>
      <c r="H60" s="15">
        <v>0</v>
      </c>
      <c r="I60" s="15">
        <v>0</v>
      </c>
      <c r="J60" s="15">
        <v>0</v>
      </c>
      <c r="K60" s="15">
        <v>6527.1175567014598</v>
      </c>
      <c r="L60" s="15">
        <v>0</v>
      </c>
      <c r="M60" s="15">
        <v>0</v>
      </c>
      <c r="N60" s="15">
        <v>0</v>
      </c>
      <c r="O60" s="15">
        <v>811.66132617435005</v>
      </c>
      <c r="P60" s="15">
        <v>330.45023656805898</v>
      </c>
      <c r="Q60" s="15">
        <v>0</v>
      </c>
      <c r="R60" s="15">
        <v>0</v>
      </c>
      <c r="S60" s="15">
        <v>1389.08161674911</v>
      </c>
      <c r="T60" s="15">
        <v>6729.4582741713702</v>
      </c>
    </row>
    <row r="61" spans="1:20" x14ac:dyDescent="0.2">
      <c r="A61" s="1" t="s">
        <v>79</v>
      </c>
      <c r="B61" s="2">
        <v>73850120.848759994</v>
      </c>
      <c r="C61" s="2">
        <v>543114961.92724097</v>
      </c>
      <c r="D61" s="2">
        <v>29249388.086325601</v>
      </c>
      <c r="E61" s="15">
        <v>0</v>
      </c>
      <c r="F61" s="15">
        <v>5304.3655045518699</v>
      </c>
      <c r="G61" s="15">
        <v>474.56838480624901</v>
      </c>
      <c r="H61" s="15">
        <v>0</v>
      </c>
      <c r="I61" s="15">
        <v>0</v>
      </c>
      <c r="J61" s="15">
        <v>0</v>
      </c>
      <c r="K61" s="15">
        <v>3728.9337347624801</v>
      </c>
      <c r="L61" s="15">
        <v>6983.7251123709002</v>
      </c>
      <c r="M61" s="15">
        <v>0</v>
      </c>
      <c r="N61" s="15">
        <v>0</v>
      </c>
      <c r="O61" s="15">
        <v>2723.4006571922901</v>
      </c>
      <c r="P61" s="15">
        <v>363.43322255948902</v>
      </c>
      <c r="Q61" s="15">
        <v>0</v>
      </c>
      <c r="R61" s="15">
        <v>0</v>
      </c>
      <c r="S61" s="15">
        <v>2025.23725242098</v>
      </c>
      <c r="T61" s="15">
        <v>7152.2996527540199</v>
      </c>
    </row>
    <row r="62" spans="1:20" x14ac:dyDescent="0.2">
      <c r="A62" s="1" t="s">
        <v>80</v>
      </c>
      <c r="B62" s="2">
        <v>296322408.27734798</v>
      </c>
      <c r="C62" s="2">
        <v>1173125453.1896701</v>
      </c>
      <c r="D62" s="2">
        <v>6753019.73335231</v>
      </c>
      <c r="E62" s="15">
        <v>0</v>
      </c>
      <c r="F62" s="15">
        <v>5835.3916652789403</v>
      </c>
      <c r="G62" s="15">
        <v>1317.8166511320701</v>
      </c>
      <c r="H62" s="15">
        <v>0</v>
      </c>
      <c r="I62" s="2">
        <v>251278.580130869</v>
      </c>
      <c r="J62" s="15">
        <v>0</v>
      </c>
      <c r="K62" s="15">
        <v>2418.7951815577899</v>
      </c>
      <c r="L62" s="15">
        <v>0</v>
      </c>
      <c r="M62" s="15">
        <v>0</v>
      </c>
      <c r="N62" s="15">
        <v>0</v>
      </c>
      <c r="O62" s="15">
        <v>2874.6987049116401</v>
      </c>
      <c r="P62" s="15">
        <v>609.51091151716003</v>
      </c>
      <c r="Q62" s="15">
        <v>0</v>
      </c>
      <c r="R62" s="15">
        <v>6369.8058194517098</v>
      </c>
      <c r="S62" s="15">
        <v>1189.79045610413</v>
      </c>
      <c r="T62" s="15">
        <v>20134.311258498499</v>
      </c>
    </row>
    <row r="63" spans="1:20" x14ac:dyDescent="0.2">
      <c r="A63" s="1" t="s">
        <v>81</v>
      </c>
      <c r="B63" s="2">
        <v>271627140.125359</v>
      </c>
      <c r="C63" s="2">
        <v>756928485.69245398</v>
      </c>
      <c r="D63" s="2">
        <v>5862913.7649321798</v>
      </c>
      <c r="E63" s="15">
        <v>650.32115033678895</v>
      </c>
      <c r="F63" s="15">
        <v>12115.326418896801</v>
      </c>
      <c r="G63" s="15">
        <v>1741.9937333759699</v>
      </c>
      <c r="H63" s="15">
        <v>0</v>
      </c>
      <c r="I63" s="2">
        <v>215956.252902615</v>
      </c>
      <c r="J63" s="15">
        <v>0</v>
      </c>
      <c r="K63" s="15">
        <v>2480.3688213197802</v>
      </c>
      <c r="L63" s="15">
        <v>5761.6644698336904</v>
      </c>
      <c r="M63" s="15">
        <v>0</v>
      </c>
      <c r="N63" s="15">
        <v>0</v>
      </c>
      <c r="O63" s="15">
        <v>2143.8368905194102</v>
      </c>
      <c r="P63" s="15">
        <v>6905.1673309913904</v>
      </c>
      <c r="Q63" s="15">
        <v>0</v>
      </c>
      <c r="R63" s="15">
        <v>0</v>
      </c>
      <c r="S63" s="15">
        <v>0</v>
      </c>
      <c r="T63" s="15">
        <v>33922.508794385401</v>
      </c>
    </row>
    <row r="64" spans="1:20" x14ac:dyDescent="0.2">
      <c r="A64" s="1" t="s">
        <v>82</v>
      </c>
      <c r="B64" s="2">
        <v>256099126.36786699</v>
      </c>
      <c r="C64" s="2">
        <v>610744910.38221204</v>
      </c>
      <c r="D64" s="2">
        <v>6068228.8383052703</v>
      </c>
      <c r="E64" s="15">
        <v>0</v>
      </c>
      <c r="F64" s="15">
        <v>11130.6994273892</v>
      </c>
      <c r="G64" s="15">
        <v>3227.6939613108898</v>
      </c>
      <c r="H64" s="15">
        <v>0</v>
      </c>
      <c r="I64" s="2">
        <v>236558.33756930899</v>
      </c>
      <c r="J64" s="15">
        <v>0</v>
      </c>
      <c r="K64" s="15">
        <v>0</v>
      </c>
      <c r="L64" s="15">
        <v>10608.2988101513</v>
      </c>
      <c r="M64" s="15">
        <v>0</v>
      </c>
      <c r="N64" s="15">
        <v>0</v>
      </c>
      <c r="O64" s="15">
        <v>3816.4002203074201</v>
      </c>
      <c r="P64" s="15">
        <v>4020.26564771426</v>
      </c>
      <c r="Q64" s="15">
        <v>0</v>
      </c>
      <c r="R64" s="15">
        <v>0</v>
      </c>
      <c r="S64" s="15">
        <v>0</v>
      </c>
      <c r="T64" s="15">
        <v>4374.3221818231204</v>
      </c>
    </row>
    <row r="65" spans="1:20" x14ac:dyDescent="0.2">
      <c r="A65" s="1" t="s">
        <v>83</v>
      </c>
      <c r="B65" s="2">
        <v>2475007.38240678</v>
      </c>
      <c r="C65" s="2">
        <v>927800.458709714</v>
      </c>
      <c r="D65" s="15">
        <v>0</v>
      </c>
      <c r="E65" s="15">
        <v>292.31914618470699</v>
      </c>
      <c r="F65" s="15">
        <v>7136.0966671238903</v>
      </c>
      <c r="G65" s="15">
        <v>1131.7065832805199</v>
      </c>
      <c r="H65" s="15">
        <v>0</v>
      </c>
      <c r="I65" s="2">
        <v>358987.129024319</v>
      </c>
      <c r="J65" s="15">
        <v>0</v>
      </c>
      <c r="K65" s="15">
        <v>0</v>
      </c>
      <c r="L65" s="15">
        <v>14761.866614689399</v>
      </c>
      <c r="M65" s="15">
        <v>0</v>
      </c>
      <c r="N65" s="15">
        <v>0</v>
      </c>
      <c r="O65" s="15">
        <v>3309.1774863896899</v>
      </c>
      <c r="P65" s="15">
        <v>9168.6756527019097</v>
      </c>
      <c r="Q65" s="15">
        <v>0</v>
      </c>
      <c r="R65" s="15">
        <v>0</v>
      </c>
      <c r="S65" s="15">
        <v>1125.6326280487301</v>
      </c>
      <c r="T65" s="15">
        <v>69785.493724097105</v>
      </c>
    </row>
    <row r="66" spans="1:20" x14ac:dyDescent="0.2">
      <c r="A66" s="1" t="s">
        <v>84</v>
      </c>
      <c r="B66" s="2">
        <v>2477118.5832760301</v>
      </c>
      <c r="C66" s="2">
        <v>875120.57656881504</v>
      </c>
      <c r="D66" s="15">
        <v>0</v>
      </c>
      <c r="E66" s="15">
        <v>0</v>
      </c>
      <c r="F66" s="15">
        <v>10073.5073590299</v>
      </c>
      <c r="G66" s="15">
        <v>10805.538595509301</v>
      </c>
      <c r="H66" s="15">
        <v>0</v>
      </c>
      <c r="I66" s="2">
        <v>367238.98646609002</v>
      </c>
      <c r="J66" s="15">
        <v>0</v>
      </c>
      <c r="K66" s="15">
        <v>0</v>
      </c>
      <c r="L66" s="15">
        <v>14875.4563198903</v>
      </c>
      <c r="M66" s="15">
        <v>0</v>
      </c>
      <c r="N66" s="15">
        <v>0</v>
      </c>
      <c r="O66" s="15">
        <v>5646.7786846584104</v>
      </c>
      <c r="P66" s="15">
        <v>4990.2592475716101</v>
      </c>
      <c r="Q66" s="15">
        <v>0</v>
      </c>
      <c r="R66" s="15">
        <v>0</v>
      </c>
      <c r="S66" s="15">
        <v>0</v>
      </c>
      <c r="T66" s="15">
        <v>4326.3863071155602</v>
      </c>
    </row>
    <row r="67" spans="1:20" x14ac:dyDescent="0.2">
      <c r="A67" s="1" t="s">
        <v>85</v>
      </c>
      <c r="B67" s="2">
        <v>2293577.3888983699</v>
      </c>
      <c r="C67" s="2">
        <v>755056.10323487897</v>
      </c>
      <c r="D67" s="15">
        <v>0</v>
      </c>
      <c r="E67" s="15">
        <v>0</v>
      </c>
      <c r="F67" s="15">
        <v>7148.9111081364399</v>
      </c>
      <c r="G67" s="15">
        <v>2516.5522184023198</v>
      </c>
      <c r="H67" s="15">
        <v>0</v>
      </c>
      <c r="I67" s="2">
        <v>312982.15491744201</v>
      </c>
      <c r="J67" s="15">
        <v>0</v>
      </c>
      <c r="K67" s="15">
        <v>4197.3278881262804</v>
      </c>
      <c r="L67" s="15">
        <v>14019.843606423099</v>
      </c>
      <c r="M67" s="15">
        <v>0</v>
      </c>
      <c r="N67" s="15">
        <v>0</v>
      </c>
      <c r="O67" s="15">
        <v>1352.41828737632</v>
      </c>
      <c r="P67" s="15">
        <v>9248.9646740828703</v>
      </c>
      <c r="Q67" s="15">
        <v>0</v>
      </c>
      <c r="R67" s="15">
        <v>0</v>
      </c>
      <c r="S67" s="15">
        <v>0</v>
      </c>
      <c r="T67" s="15">
        <v>33225.673452893301</v>
      </c>
    </row>
    <row r="68" spans="1:20" x14ac:dyDescent="0.2">
      <c r="A68" s="1" t="s">
        <v>86</v>
      </c>
      <c r="B68" s="2">
        <v>233895484.62781</v>
      </c>
      <c r="C68" s="2">
        <v>442165.01442194899</v>
      </c>
      <c r="D68" s="2">
        <v>8951599.3603095207</v>
      </c>
      <c r="E68" s="15">
        <v>0</v>
      </c>
      <c r="F68" s="15">
        <v>9581.5192861158503</v>
      </c>
      <c r="G68" s="15">
        <v>727.70793261488097</v>
      </c>
      <c r="H68" s="15">
        <v>0</v>
      </c>
      <c r="I68" s="2">
        <v>246107.950858914</v>
      </c>
      <c r="J68" s="15">
        <v>0</v>
      </c>
      <c r="K68" s="15">
        <v>0</v>
      </c>
      <c r="L68" s="15">
        <v>27189.267911029201</v>
      </c>
      <c r="M68" s="15">
        <v>0</v>
      </c>
      <c r="N68" s="15">
        <v>0</v>
      </c>
      <c r="O68" s="15">
        <v>1989.04327822699</v>
      </c>
      <c r="P68" s="15">
        <v>5654.1518492212999</v>
      </c>
      <c r="Q68" s="15">
        <v>0</v>
      </c>
      <c r="R68" s="15">
        <v>0</v>
      </c>
      <c r="S68" s="15">
        <v>1126.15366227765</v>
      </c>
      <c r="T68" s="15">
        <v>4118.9274490622402</v>
      </c>
    </row>
    <row r="69" spans="1:20" x14ac:dyDescent="0.2">
      <c r="A69" s="1" t="s">
        <v>87</v>
      </c>
      <c r="B69" s="2">
        <v>219306764.72453201</v>
      </c>
      <c r="C69" s="2">
        <v>838295.14100101194</v>
      </c>
      <c r="D69" s="2">
        <v>8900100.3365591597</v>
      </c>
      <c r="E69" s="15">
        <v>0</v>
      </c>
      <c r="F69" s="15">
        <v>10108.897414680399</v>
      </c>
      <c r="G69" s="15">
        <v>921.646604721416</v>
      </c>
      <c r="H69" s="15">
        <v>0</v>
      </c>
      <c r="I69" s="2">
        <v>239560.824456817</v>
      </c>
      <c r="J69" s="15">
        <v>0</v>
      </c>
      <c r="K69" s="15">
        <v>2902.6020231570701</v>
      </c>
      <c r="L69" s="15">
        <v>28584.092759929899</v>
      </c>
      <c r="M69" s="15">
        <v>0</v>
      </c>
      <c r="N69" s="15">
        <v>0</v>
      </c>
      <c r="O69" s="15">
        <v>1760.55293660589</v>
      </c>
      <c r="P69" s="15">
        <v>3518.3300506709502</v>
      </c>
      <c r="Q69" s="15">
        <v>0</v>
      </c>
      <c r="R69" s="15">
        <v>0</v>
      </c>
      <c r="S69" s="15">
        <v>1286.3183775693701</v>
      </c>
      <c r="T69" s="15">
        <v>15055.203179571299</v>
      </c>
    </row>
    <row r="70" spans="1:20" x14ac:dyDescent="0.2">
      <c r="A70" s="1" t="s">
        <v>88</v>
      </c>
      <c r="B70" s="2">
        <v>256746834.95173299</v>
      </c>
      <c r="C70" s="2">
        <v>710605.64864328399</v>
      </c>
      <c r="D70" s="2">
        <v>8839663.7435426097</v>
      </c>
      <c r="E70" s="15">
        <v>598.21487220160304</v>
      </c>
      <c r="F70" s="15">
        <v>9450.9743290736606</v>
      </c>
      <c r="G70" s="15">
        <v>1570.4590372898599</v>
      </c>
      <c r="H70" s="15">
        <v>0</v>
      </c>
      <c r="I70" s="2">
        <v>264285.495349765</v>
      </c>
      <c r="J70" s="15">
        <v>0</v>
      </c>
      <c r="K70" s="15">
        <v>0</v>
      </c>
      <c r="L70" s="15">
        <v>19240.333998685401</v>
      </c>
      <c r="M70" s="15">
        <v>0</v>
      </c>
      <c r="N70" s="15">
        <v>0</v>
      </c>
      <c r="O70" s="15">
        <v>2015.60593434526</v>
      </c>
      <c r="P70" s="15">
        <v>360.93442674905901</v>
      </c>
      <c r="Q70" s="15">
        <v>0</v>
      </c>
      <c r="R70" s="15">
        <v>0</v>
      </c>
      <c r="S70" s="15">
        <v>1283.2368169644601</v>
      </c>
      <c r="T70" s="15">
        <v>18372.360753546302</v>
      </c>
    </row>
    <row r="71" spans="1:20" x14ac:dyDescent="0.2">
      <c r="A71" s="1" t="s">
        <v>89</v>
      </c>
      <c r="B71" s="2">
        <v>75575684.299948603</v>
      </c>
      <c r="C71" s="2">
        <v>395873958.06886798</v>
      </c>
      <c r="D71" s="2">
        <v>41317270.297263101</v>
      </c>
      <c r="E71" s="15">
        <v>0</v>
      </c>
      <c r="F71" s="15">
        <v>6536.6504269083198</v>
      </c>
      <c r="G71" s="15">
        <v>3540.9982943421401</v>
      </c>
      <c r="H71" s="15">
        <v>0</v>
      </c>
      <c r="I71" s="2">
        <v>185656.90619713999</v>
      </c>
      <c r="J71" s="15">
        <v>0</v>
      </c>
      <c r="K71" s="15">
        <v>0</v>
      </c>
      <c r="L71" s="15">
        <v>6795.9220246506602</v>
      </c>
      <c r="M71" s="15">
        <v>1350.5100794166899</v>
      </c>
      <c r="N71" s="15">
        <v>0</v>
      </c>
      <c r="O71" s="15">
        <v>19993.6785738076</v>
      </c>
      <c r="P71" s="15">
        <v>77629.835484703493</v>
      </c>
      <c r="Q71" s="15">
        <v>0</v>
      </c>
      <c r="R71" s="15">
        <v>0</v>
      </c>
      <c r="S71" s="15">
        <v>0</v>
      </c>
      <c r="T71" s="15">
        <v>67138.912233483905</v>
      </c>
    </row>
    <row r="72" spans="1:20" x14ac:dyDescent="0.2">
      <c r="A72" s="1" t="s">
        <v>90</v>
      </c>
      <c r="B72" s="2">
        <v>64398859.927354999</v>
      </c>
      <c r="C72" s="2">
        <v>436132862.397506</v>
      </c>
      <c r="D72" s="2">
        <v>30993059.877703</v>
      </c>
      <c r="E72" s="15">
        <v>0</v>
      </c>
      <c r="F72" s="15">
        <v>7860.5871593925103</v>
      </c>
      <c r="G72" s="15">
        <v>2593.6831590850502</v>
      </c>
      <c r="H72" s="15">
        <v>0</v>
      </c>
      <c r="I72" s="2">
        <v>142143.607545276</v>
      </c>
      <c r="J72" s="15">
        <v>0</v>
      </c>
      <c r="K72" s="15">
        <v>0</v>
      </c>
      <c r="L72" s="15">
        <v>7971.2464171747797</v>
      </c>
      <c r="M72" s="15">
        <v>2794.1945082341899</v>
      </c>
      <c r="N72" s="15">
        <v>0</v>
      </c>
      <c r="O72" s="15">
        <v>1754.80324951841</v>
      </c>
      <c r="P72" s="15">
        <v>4746.2250176013404</v>
      </c>
      <c r="Q72" s="15">
        <v>979.68116613705695</v>
      </c>
      <c r="R72" s="15">
        <v>0</v>
      </c>
      <c r="S72" s="15">
        <v>1759.0175063381</v>
      </c>
      <c r="T72" s="15">
        <v>15111.711581485801</v>
      </c>
    </row>
    <row r="73" spans="1:20" x14ac:dyDescent="0.2">
      <c r="A73" s="1" t="s">
        <v>91</v>
      </c>
      <c r="B73" s="2">
        <v>72326191.659027994</v>
      </c>
      <c r="C73" s="2">
        <v>470360367.209216</v>
      </c>
      <c r="D73" s="2">
        <v>33646815.460713603</v>
      </c>
      <c r="E73" s="15">
        <v>0</v>
      </c>
      <c r="F73" s="15">
        <v>10156.111903950899</v>
      </c>
      <c r="G73" s="15">
        <v>414.10500556943299</v>
      </c>
      <c r="H73" s="15">
        <v>0</v>
      </c>
      <c r="I73" s="2">
        <v>204879.435184275</v>
      </c>
      <c r="J73" s="15">
        <v>0</v>
      </c>
      <c r="K73" s="15">
        <v>0</v>
      </c>
      <c r="L73" s="15">
        <v>6143.7390199511101</v>
      </c>
      <c r="M73" s="15">
        <v>0</v>
      </c>
      <c r="N73" s="15">
        <v>0</v>
      </c>
      <c r="O73" s="15">
        <v>969.03344572458502</v>
      </c>
      <c r="P73" s="15">
        <v>325.17211686944501</v>
      </c>
      <c r="Q73" s="15">
        <v>0</v>
      </c>
      <c r="R73" s="15">
        <v>0</v>
      </c>
      <c r="S73" s="15">
        <v>0</v>
      </c>
      <c r="T73" s="15">
        <v>10998.861025811</v>
      </c>
    </row>
    <row r="74" spans="1:20" x14ac:dyDescent="0.2">
      <c r="H74" s="16"/>
      <c r="N74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"/>
  <sheetViews>
    <sheetView topLeftCell="D1" zoomScale="84" zoomScaleNormal="87" workbookViewId="0">
      <selection activeCell="W26" sqref="W26"/>
    </sheetView>
  </sheetViews>
  <sheetFormatPr baseColWidth="10" defaultColWidth="8.83203125" defaultRowHeight="15" x14ac:dyDescent="0.2"/>
  <cols>
    <col min="1" max="1" width="9.83203125" style="53" bestFit="1" customWidth="1"/>
    <col min="2" max="2" width="38.83203125" style="53" bestFit="1" customWidth="1"/>
    <col min="3" max="3" width="21" style="53" bestFit="1" customWidth="1"/>
    <col min="4" max="4" width="16.5" style="53" bestFit="1" customWidth="1"/>
    <col min="5" max="5" width="14" style="53" bestFit="1" customWidth="1"/>
    <col min="6" max="8" width="15" style="53" bestFit="1" customWidth="1"/>
    <col min="9" max="11" width="14" style="53" bestFit="1" customWidth="1"/>
    <col min="12" max="12" width="13" style="53" bestFit="1" customWidth="1"/>
    <col min="13" max="13" width="18" style="53" customWidth="1"/>
    <col min="14" max="14" width="15" style="53" bestFit="1" customWidth="1"/>
    <col min="15" max="15" width="13" style="53" bestFit="1" customWidth="1"/>
    <col min="16" max="17" width="14" style="53" bestFit="1" customWidth="1"/>
    <col min="18" max="18" width="13" style="53" bestFit="1" customWidth="1"/>
    <col min="19" max="19" width="12.1640625" style="53" bestFit="1" customWidth="1"/>
    <col min="20" max="20" width="13" style="64" bestFit="1" customWidth="1"/>
    <col min="21" max="21" width="15" style="53" bestFit="1" customWidth="1"/>
    <col min="22" max="22" width="8.83203125" style="53"/>
    <col min="23" max="23" width="27.33203125" style="53" bestFit="1" customWidth="1"/>
    <col min="24" max="16384" width="8.83203125" style="53"/>
  </cols>
  <sheetData>
    <row r="1" spans="1:23" x14ac:dyDescent="0.2">
      <c r="A1" s="52" t="s">
        <v>2</v>
      </c>
      <c r="B1" s="52" t="s">
        <v>158</v>
      </c>
      <c r="C1" s="63" t="s">
        <v>13</v>
      </c>
      <c r="D1" s="80" t="s">
        <v>157</v>
      </c>
      <c r="E1" s="52" t="s">
        <v>15</v>
      </c>
      <c r="F1" s="52" t="s">
        <v>3</v>
      </c>
      <c r="G1" s="52" t="s">
        <v>4</v>
      </c>
      <c r="H1" s="52" t="s">
        <v>5</v>
      </c>
      <c r="I1" s="52" t="s">
        <v>16</v>
      </c>
      <c r="J1" s="52" t="s">
        <v>92</v>
      </c>
      <c r="K1" s="52" t="s">
        <v>6</v>
      </c>
      <c r="L1" s="52" t="s">
        <v>190</v>
      </c>
      <c r="M1" s="52" t="s">
        <v>7</v>
      </c>
      <c r="N1" s="52" t="s">
        <v>8</v>
      </c>
      <c r="O1" s="52" t="s">
        <v>9</v>
      </c>
      <c r="P1" s="52" t="s">
        <v>10</v>
      </c>
      <c r="Q1" s="63" t="s">
        <v>11</v>
      </c>
      <c r="R1" s="63" t="s">
        <v>17</v>
      </c>
      <c r="S1" s="63" t="s">
        <v>94</v>
      </c>
      <c r="T1" s="63" t="s">
        <v>18</v>
      </c>
      <c r="U1" s="63" t="s">
        <v>12</v>
      </c>
      <c r="V1" s="64"/>
      <c r="W1" s="64"/>
    </row>
    <row r="2" spans="1:23" ht="16" x14ac:dyDescent="0.2">
      <c r="A2" s="52" t="s">
        <v>19</v>
      </c>
      <c r="B2" s="56" t="s">
        <v>159</v>
      </c>
      <c r="C2" s="64">
        <v>16659758.735301999</v>
      </c>
      <c r="D2" s="81">
        <v>636057.01956492802</v>
      </c>
      <c r="E2" s="53">
        <v>0</v>
      </c>
      <c r="F2" s="53">
        <v>0</v>
      </c>
      <c r="G2" s="53">
        <v>0</v>
      </c>
      <c r="H2" s="53">
        <v>0</v>
      </c>
      <c r="I2" s="53">
        <v>21191.2924556324</v>
      </c>
      <c r="J2" s="53">
        <v>5797.1893145105996</v>
      </c>
      <c r="K2" s="53">
        <v>0</v>
      </c>
      <c r="L2" s="53">
        <v>111772.93176770701</v>
      </c>
      <c r="M2" s="53">
        <v>1363676.56457328</v>
      </c>
      <c r="N2" s="53">
        <v>5643378.3923399895</v>
      </c>
      <c r="O2" s="53">
        <v>0</v>
      </c>
      <c r="P2" s="53">
        <v>2528184.0609287899</v>
      </c>
      <c r="Q2" s="64">
        <v>7049507.2762163496</v>
      </c>
      <c r="R2" s="64">
        <v>23755.616400250899</v>
      </c>
      <c r="S2" s="64">
        <v>0</v>
      </c>
      <c r="T2" s="64">
        <v>0</v>
      </c>
      <c r="U2" s="64">
        <v>1785793.24375167</v>
      </c>
      <c r="V2" s="64"/>
      <c r="W2" s="64"/>
    </row>
    <row r="3" spans="1:23" ht="16" x14ac:dyDescent="0.2">
      <c r="A3" s="52" t="s">
        <v>21</v>
      </c>
      <c r="B3" s="56" t="s">
        <v>159</v>
      </c>
      <c r="C3" s="64">
        <v>17523720.450759701</v>
      </c>
      <c r="D3" s="81">
        <v>811243.27948515804</v>
      </c>
      <c r="E3" s="53">
        <v>0</v>
      </c>
      <c r="F3" s="53">
        <v>0</v>
      </c>
      <c r="G3" s="53">
        <v>0</v>
      </c>
      <c r="H3" s="53">
        <v>0</v>
      </c>
      <c r="I3" s="53">
        <v>61930.217728860902</v>
      </c>
      <c r="J3" s="53">
        <v>38497.198937682901</v>
      </c>
      <c r="K3" s="53">
        <v>0</v>
      </c>
      <c r="L3" s="53">
        <v>97758.374054554297</v>
      </c>
      <c r="M3" s="53">
        <v>1812859.0959764801</v>
      </c>
      <c r="N3" s="53">
        <v>5395823.4592032405</v>
      </c>
      <c r="O3" s="53">
        <v>0</v>
      </c>
      <c r="P3" s="53">
        <v>2757075.3499447298</v>
      </c>
      <c r="Q3" s="64">
        <v>6458862.8966258997</v>
      </c>
      <c r="R3" s="64">
        <v>22262.8852079594</v>
      </c>
      <c r="S3" s="64">
        <v>0</v>
      </c>
      <c r="T3" s="64">
        <v>0</v>
      </c>
      <c r="U3" s="64">
        <v>1937765.26757588</v>
      </c>
      <c r="V3" s="64"/>
      <c r="W3" s="64"/>
    </row>
    <row r="4" spans="1:23" ht="16" x14ac:dyDescent="0.2">
      <c r="A4" s="52" t="s">
        <v>23</v>
      </c>
      <c r="B4" s="56" t="s">
        <v>159</v>
      </c>
      <c r="C4" s="64">
        <v>19277569.710596301</v>
      </c>
      <c r="D4" s="81">
        <v>1004545.23311107</v>
      </c>
      <c r="E4" s="53">
        <v>0</v>
      </c>
      <c r="F4" s="53">
        <v>0</v>
      </c>
      <c r="G4" s="53">
        <v>0</v>
      </c>
      <c r="H4" s="53">
        <v>0</v>
      </c>
      <c r="I4" s="53">
        <v>49737.387251143897</v>
      </c>
      <c r="J4" s="53">
        <v>64495.364913422301</v>
      </c>
      <c r="K4" s="53">
        <v>0</v>
      </c>
      <c r="L4" s="53">
        <v>100310.81254498</v>
      </c>
      <c r="M4" s="53">
        <v>4330230.94992333</v>
      </c>
      <c r="N4" s="53">
        <v>5817777.0219695298</v>
      </c>
      <c r="O4" s="53">
        <v>0</v>
      </c>
      <c r="P4" s="53">
        <v>3393989.20069747</v>
      </c>
      <c r="Q4" s="64">
        <v>5581503.7615561299</v>
      </c>
      <c r="R4" s="64">
        <v>27383.156243373</v>
      </c>
      <c r="S4" s="64">
        <v>0</v>
      </c>
      <c r="T4" s="64">
        <v>996.56108532212795</v>
      </c>
      <c r="U4" s="64">
        <v>1725545.96752064</v>
      </c>
      <c r="V4" s="64"/>
      <c r="W4" s="64"/>
    </row>
    <row r="5" spans="1:23" ht="16" x14ac:dyDescent="0.2">
      <c r="A5" s="52" t="s">
        <v>24</v>
      </c>
      <c r="B5" s="56" t="s">
        <v>160</v>
      </c>
      <c r="C5" s="64">
        <v>3598273.1357065099</v>
      </c>
      <c r="D5" s="81">
        <v>206003.080326091</v>
      </c>
      <c r="E5" s="53">
        <v>0</v>
      </c>
      <c r="F5" s="53">
        <v>0</v>
      </c>
      <c r="G5" s="53">
        <v>0</v>
      </c>
      <c r="H5" s="53">
        <v>0</v>
      </c>
      <c r="I5" s="53">
        <v>298466.29866565298</v>
      </c>
      <c r="J5" s="53">
        <v>6649.37346866396</v>
      </c>
      <c r="K5" s="53">
        <v>0</v>
      </c>
      <c r="L5" s="53">
        <v>32193.446874914</v>
      </c>
      <c r="M5" s="53">
        <v>11624414.422952101</v>
      </c>
      <c r="N5" s="53">
        <v>2530517.3296739399</v>
      </c>
      <c r="O5" s="53">
        <v>0</v>
      </c>
      <c r="P5" s="53">
        <v>4295394.3003123896</v>
      </c>
      <c r="Q5" s="64">
        <v>3800643.3126856699</v>
      </c>
      <c r="R5" s="64">
        <v>21601.384846709901</v>
      </c>
      <c r="S5" s="64">
        <v>0</v>
      </c>
      <c r="T5" s="64">
        <v>23887.5770705916</v>
      </c>
      <c r="U5" s="64">
        <v>1663980.34758493</v>
      </c>
      <c r="V5" s="64"/>
      <c r="W5" s="64"/>
    </row>
    <row r="6" spans="1:23" ht="16" x14ac:dyDescent="0.2">
      <c r="A6" s="52" t="s">
        <v>25</v>
      </c>
      <c r="B6" s="56" t="s">
        <v>160</v>
      </c>
      <c r="C6" s="64">
        <v>3776005.5816416899</v>
      </c>
      <c r="D6" s="81">
        <v>270496.591986474</v>
      </c>
      <c r="E6" s="53">
        <v>0</v>
      </c>
      <c r="F6" s="53">
        <v>0</v>
      </c>
      <c r="G6" s="53">
        <v>0</v>
      </c>
      <c r="H6" s="53">
        <v>0</v>
      </c>
      <c r="I6" s="53">
        <v>332746.76663775998</v>
      </c>
      <c r="J6" s="53">
        <v>43870.767919815</v>
      </c>
      <c r="K6" s="53">
        <v>0</v>
      </c>
      <c r="L6" s="53">
        <v>46949.2876455148</v>
      </c>
      <c r="M6" s="53">
        <v>19253227.852348901</v>
      </c>
      <c r="N6" s="53">
        <v>3596021.2258290499</v>
      </c>
      <c r="O6" s="53">
        <v>0</v>
      </c>
      <c r="P6" s="53">
        <v>5841664.0507217804</v>
      </c>
      <c r="Q6" s="64">
        <v>4924612.6383357998</v>
      </c>
      <c r="R6" s="64">
        <v>41957.672098370997</v>
      </c>
      <c r="S6" s="64">
        <v>0</v>
      </c>
      <c r="T6" s="64">
        <v>37318.400479123797</v>
      </c>
      <c r="U6" s="64">
        <v>2342424.7038255599</v>
      </c>
      <c r="V6" s="64"/>
      <c r="W6" s="64"/>
    </row>
    <row r="7" spans="1:23" ht="16" x14ac:dyDescent="0.2">
      <c r="A7" s="52" t="s">
        <v>26</v>
      </c>
      <c r="B7" s="56" t="s">
        <v>160</v>
      </c>
      <c r="C7" s="64">
        <v>3316158.3224190702</v>
      </c>
      <c r="D7" s="81">
        <v>242142.73979003099</v>
      </c>
      <c r="E7" s="53">
        <v>0</v>
      </c>
      <c r="F7" s="53">
        <v>0</v>
      </c>
      <c r="G7" s="53">
        <v>0</v>
      </c>
      <c r="H7" s="53">
        <v>0</v>
      </c>
      <c r="I7" s="53">
        <v>354257.62005997199</v>
      </c>
      <c r="J7" s="53">
        <v>4072.8517470607799</v>
      </c>
      <c r="K7" s="53">
        <v>0</v>
      </c>
      <c r="L7" s="53">
        <v>43420.214847448799</v>
      </c>
      <c r="M7" s="53">
        <v>19605768.225298598</v>
      </c>
      <c r="N7" s="53">
        <v>2789562.9453296699</v>
      </c>
      <c r="O7" s="53">
        <v>0</v>
      </c>
      <c r="P7" s="53">
        <v>4958380.16794929</v>
      </c>
      <c r="Q7" s="64">
        <v>3246120.1852561398</v>
      </c>
      <c r="R7" s="64">
        <v>22038.203745849401</v>
      </c>
      <c r="S7" s="64">
        <v>0</v>
      </c>
      <c r="T7" s="64">
        <v>63092.456013274001</v>
      </c>
      <c r="U7" s="64">
        <v>2174675.6375106</v>
      </c>
      <c r="V7" s="64"/>
      <c r="W7" s="64"/>
    </row>
    <row r="8" spans="1:23" ht="16" x14ac:dyDescent="0.2">
      <c r="A8" s="52" t="s">
        <v>95</v>
      </c>
      <c r="B8" s="56" t="s">
        <v>161</v>
      </c>
      <c r="C8" s="64">
        <v>18287000.602993499</v>
      </c>
      <c r="D8" s="81">
        <v>217237.08891863</v>
      </c>
      <c r="E8" s="53">
        <v>0</v>
      </c>
      <c r="F8" s="53">
        <v>0</v>
      </c>
      <c r="G8" s="53">
        <v>0</v>
      </c>
      <c r="H8" s="53">
        <v>0</v>
      </c>
      <c r="I8" s="53">
        <v>384514.18198906101</v>
      </c>
      <c r="J8" s="53">
        <v>3357.210916555</v>
      </c>
      <c r="K8" s="53">
        <v>0</v>
      </c>
      <c r="L8" s="53">
        <v>38908.554616644498</v>
      </c>
      <c r="M8" s="53">
        <v>522244.75351046398</v>
      </c>
      <c r="N8" s="53">
        <v>3220476.6310154102</v>
      </c>
      <c r="O8" s="53">
        <v>0</v>
      </c>
      <c r="P8" s="53">
        <v>1741403.4351878799</v>
      </c>
      <c r="Q8" s="64">
        <v>7818457.9167688396</v>
      </c>
      <c r="R8" s="64">
        <v>26231.474959653999</v>
      </c>
      <c r="S8" s="64">
        <v>0</v>
      </c>
      <c r="T8" s="64">
        <v>64267.632064116398</v>
      </c>
      <c r="U8" s="64">
        <v>2514233.7433269401</v>
      </c>
      <c r="V8" s="64"/>
      <c r="W8" s="64"/>
    </row>
    <row r="9" spans="1:23" ht="16" x14ac:dyDescent="0.2">
      <c r="A9" s="52" t="s">
        <v>27</v>
      </c>
      <c r="B9" s="56" t="s">
        <v>161</v>
      </c>
      <c r="C9" s="64">
        <v>21173956.474948701</v>
      </c>
      <c r="D9" s="81">
        <v>463399.36175676598</v>
      </c>
      <c r="E9" s="53">
        <v>0</v>
      </c>
      <c r="F9" s="53">
        <v>0</v>
      </c>
      <c r="G9" s="53">
        <v>0</v>
      </c>
      <c r="H9" s="53">
        <v>0</v>
      </c>
      <c r="I9" s="53">
        <v>404488.47915534797</v>
      </c>
      <c r="J9" s="53">
        <v>8620.4577218918803</v>
      </c>
      <c r="K9" s="53">
        <v>0</v>
      </c>
      <c r="L9" s="53">
        <v>42385.261115650101</v>
      </c>
      <c r="M9" s="53">
        <v>595941.21227679797</v>
      </c>
      <c r="N9" s="53">
        <v>3376189.4874849101</v>
      </c>
      <c r="O9" s="53">
        <v>0</v>
      </c>
      <c r="P9" s="53">
        <v>1864806.8493234201</v>
      </c>
      <c r="Q9" s="64">
        <v>7938589.7105871001</v>
      </c>
      <c r="R9" s="64">
        <v>29220.541392913499</v>
      </c>
      <c r="S9" s="64">
        <v>0</v>
      </c>
      <c r="T9" s="64">
        <v>73870.497734713499</v>
      </c>
      <c r="U9" s="64">
        <v>2422343.7464991901</v>
      </c>
      <c r="V9" s="64"/>
      <c r="W9" s="64"/>
    </row>
    <row r="10" spans="1:23" ht="16" x14ac:dyDescent="0.2">
      <c r="A10" s="52" t="s">
        <v>28</v>
      </c>
      <c r="B10" s="56" t="s">
        <v>161</v>
      </c>
      <c r="C10" s="64">
        <v>21001154.8572088</v>
      </c>
      <c r="D10" s="81">
        <v>234769.040483355</v>
      </c>
      <c r="E10" s="53">
        <v>0</v>
      </c>
      <c r="F10" s="53">
        <v>0</v>
      </c>
      <c r="G10" s="53">
        <v>0</v>
      </c>
      <c r="H10" s="53">
        <v>0</v>
      </c>
      <c r="I10" s="53">
        <v>475996.19004546799</v>
      </c>
      <c r="J10" s="53">
        <v>19475.2591135123</v>
      </c>
      <c r="K10" s="53">
        <v>0</v>
      </c>
      <c r="L10" s="53">
        <v>45065.537177633603</v>
      </c>
      <c r="M10" s="53">
        <v>841256.70239157102</v>
      </c>
      <c r="N10" s="53">
        <v>3480991.90083797</v>
      </c>
      <c r="O10" s="53">
        <v>0</v>
      </c>
      <c r="P10" s="53">
        <v>1955867.0570815301</v>
      </c>
      <c r="Q10" s="64">
        <v>8574294.7053364404</v>
      </c>
      <c r="R10" s="64">
        <v>35690.198835699499</v>
      </c>
      <c r="S10" s="64">
        <v>0</v>
      </c>
      <c r="T10" s="64">
        <v>76761.256275462598</v>
      </c>
      <c r="U10" s="64">
        <v>2505768.59317635</v>
      </c>
      <c r="V10" s="64"/>
      <c r="W10" s="64"/>
    </row>
    <row r="11" spans="1:23" ht="16" x14ac:dyDescent="0.2">
      <c r="A11" s="52" t="s">
        <v>29</v>
      </c>
      <c r="B11" s="56" t="s">
        <v>162</v>
      </c>
      <c r="C11" s="64">
        <v>17325204.200404901</v>
      </c>
      <c r="D11" s="81">
        <v>2324404.17873216</v>
      </c>
      <c r="E11" s="53">
        <v>849349.89084762905</v>
      </c>
      <c r="F11" s="53">
        <v>0</v>
      </c>
      <c r="G11" s="53">
        <v>0</v>
      </c>
      <c r="H11" s="53">
        <v>0</v>
      </c>
      <c r="I11" s="53">
        <v>421272.27548817999</v>
      </c>
      <c r="J11" s="53">
        <v>4969.1901572404304</v>
      </c>
      <c r="K11" s="53">
        <v>0</v>
      </c>
      <c r="L11" s="53">
        <v>74879.586936997803</v>
      </c>
      <c r="M11" s="53">
        <v>523529.952180797</v>
      </c>
      <c r="N11" s="53">
        <v>6242308.9574025301</v>
      </c>
      <c r="O11" s="53">
        <v>0</v>
      </c>
      <c r="P11" s="53">
        <v>1883084.87769775</v>
      </c>
      <c r="Q11" s="64">
        <v>7054215.2084048996</v>
      </c>
      <c r="R11" s="64">
        <v>44360.137893688101</v>
      </c>
      <c r="S11" s="64">
        <v>0</v>
      </c>
      <c r="T11" s="64">
        <v>77829.453413853698</v>
      </c>
      <c r="U11" s="64">
        <v>2737751.4212965001</v>
      </c>
      <c r="V11" s="64"/>
      <c r="W11" s="64"/>
    </row>
    <row r="12" spans="1:23" ht="16" x14ac:dyDescent="0.2">
      <c r="A12" s="52" t="s">
        <v>30</v>
      </c>
      <c r="B12" s="56" t="s">
        <v>162</v>
      </c>
      <c r="C12" s="64">
        <v>14609645.334540199</v>
      </c>
      <c r="D12" s="81">
        <v>1796839.59855738</v>
      </c>
      <c r="E12" s="53">
        <v>554884.184864018</v>
      </c>
      <c r="F12" s="53">
        <v>0</v>
      </c>
      <c r="G12" s="53">
        <v>0</v>
      </c>
      <c r="H12" s="53">
        <v>0</v>
      </c>
      <c r="I12" s="53">
        <v>411788.01256088301</v>
      </c>
      <c r="J12" s="53">
        <v>6192.4536365225804</v>
      </c>
      <c r="K12" s="53">
        <v>0</v>
      </c>
      <c r="L12" s="53">
        <v>63870.664457838699</v>
      </c>
      <c r="M12" s="53">
        <v>471835.40929297701</v>
      </c>
      <c r="N12" s="53">
        <v>5535945.56977168</v>
      </c>
      <c r="O12" s="53">
        <v>0</v>
      </c>
      <c r="P12" s="53">
        <v>1613109.18487139</v>
      </c>
      <c r="Q12" s="64">
        <v>6606827.7505183304</v>
      </c>
      <c r="R12" s="64">
        <v>35585.0179803723</v>
      </c>
      <c r="S12" s="64">
        <v>0</v>
      </c>
      <c r="T12" s="64">
        <v>35041.706860456899</v>
      </c>
      <c r="U12" s="64">
        <v>2319708.7002898301</v>
      </c>
      <c r="V12" s="64"/>
      <c r="W12" s="64"/>
    </row>
    <row r="13" spans="1:23" ht="16" x14ac:dyDescent="0.2">
      <c r="A13" s="52" t="s">
        <v>31</v>
      </c>
      <c r="B13" s="56" t="s">
        <v>162</v>
      </c>
      <c r="C13" s="64">
        <v>15307385.2555678</v>
      </c>
      <c r="D13" s="81">
        <v>4887364.0613547098</v>
      </c>
      <c r="E13" s="53">
        <v>1172735.17070509</v>
      </c>
      <c r="F13" s="53">
        <v>0</v>
      </c>
      <c r="G13" s="53">
        <v>0</v>
      </c>
      <c r="H13" s="53">
        <v>0</v>
      </c>
      <c r="I13" s="53">
        <v>521911.84080315998</v>
      </c>
      <c r="J13" s="53">
        <v>4057.3058190930401</v>
      </c>
      <c r="K13" s="53">
        <v>0</v>
      </c>
      <c r="L13" s="53">
        <v>100345.934146912</v>
      </c>
      <c r="M13" s="53">
        <v>649339.444507187</v>
      </c>
      <c r="N13" s="53">
        <v>6309735.8469749503</v>
      </c>
      <c r="O13" s="53">
        <v>0</v>
      </c>
      <c r="P13" s="53">
        <v>1750340.3369403</v>
      </c>
      <c r="Q13" s="64">
        <v>6929833.8713553604</v>
      </c>
      <c r="R13" s="64">
        <v>35225.383442347797</v>
      </c>
      <c r="S13" s="64">
        <v>0</v>
      </c>
      <c r="T13" s="64">
        <v>85725.867056018295</v>
      </c>
      <c r="U13" s="64">
        <v>2558995.5876702298</v>
      </c>
      <c r="V13" s="64"/>
      <c r="W13" s="64"/>
    </row>
    <row r="14" spans="1:23" ht="16" x14ac:dyDescent="0.2">
      <c r="A14" s="52" t="s">
        <v>32</v>
      </c>
      <c r="B14" s="56" t="s">
        <v>163</v>
      </c>
      <c r="C14" s="64">
        <v>43410614.610494502</v>
      </c>
      <c r="D14" s="81">
        <v>9986497.9161546007</v>
      </c>
      <c r="E14" s="53">
        <v>0</v>
      </c>
      <c r="F14" s="53">
        <v>0</v>
      </c>
      <c r="G14" s="53">
        <v>0</v>
      </c>
      <c r="H14" s="53">
        <v>0</v>
      </c>
      <c r="I14" s="53">
        <v>2640435.76257081</v>
      </c>
      <c r="J14" s="53">
        <v>234741.795926614</v>
      </c>
      <c r="K14" s="53">
        <v>145274.83349126999</v>
      </c>
      <c r="L14" s="53">
        <v>167275.307486037</v>
      </c>
      <c r="M14" s="53">
        <v>19952.7837026651</v>
      </c>
      <c r="N14" s="53">
        <v>17329016.546253499</v>
      </c>
      <c r="O14" s="53">
        <v>7564.8612501265798</v>
      </c>
      <c r="P14" s="53">
        <v>5958018.9744178997</v>
      </c>
      <c r="Q14" s="64">
        <v>25289587.333191399</v>
      </c>
      <c r="R14" s="64">
        <v>173492.80172483399</v>
      </c>
      <c r="S14" s="64">
        <v>24069.507632626799</v>
      </c>
      <c r="T14" s="64">
        <v>271290.83418188</v>
      </c>
      <c r="U14" s="64">
        <v>6236433.5193274096</v>
      </c>
      <c r="V14" s="64"/>
      <c r="W14" s="64"/>
    </row>
    <row r="15" spans="1:23" ht="16" x14ac:dyDescent="0.2">
      <c r="A15" s="52" t="s">
        <v>33</v>
      </c>
      <c r="B15" s="56" t="s">
        <v>163</v>
      </c>
      <c r="C15" s="64">
        <v>31649420.743160401</v>
      </c>
      <c r="D15" s="81">
        <v>2822613.3564782501</v>
      </c>
      <c r="E15" s="53">
        <v>0</v>
      </c>
      <c r="F15" s="53">
        <v>0</v>
      </c>
      <c r="G15" s="53">
        <v>0</v>
      </c>
      <c r="H15" s="53">
        <v>0</v>
      </c>
      <c r="I15" s="53">
        <v>2435981.0413013399</v>
      </c>
      <c r="J15" s="53">
        <v>213432.45460203101</v>
      </c>
      <c r="K15" s="53">
        <v>141292.13427619901</v>
      </c>
      <c r="L15" s="53">
        <v>164340.50463135599</v>
      </c>
      <c r="M15" s="53">
        <v>3005698.3154314202</v>
      </c>
      <c r="N15" s="53">
        <v>14914632.6346469</v>
      </c>
      <c r="O15" s="53">
        <v>14489.301717505699</v>
      </c>
      <c r="P15" s="53">
        <v>5305437.2352943802</v>
      </c>
      <c r="Q15" s="64">
        <v>20776974.127072599</v>
      </c>
      <c r="R15" s="64">
        <v>126165.167293208</v>
      </c>
      <c r="S15" s="64">
        <v>6599.1122931803502</v>
      </c>
      <c r="T15" s="64">
        <v>240176.909741624</v>
      </c>
      <c r="U15" s="64">
        <v>4730748.63792523</v>
      </c>
      <c r="V15" s="64"/>
      <c r="W15" s="64"/>
    </row>
    <row r="16" spans="1:23" ht="16" x14ac:dyDescent="0.2">
      <c r="A16" s="52" t="s">
        <v>34</v>
      </c>
      <c r="B16" s="56" t="s">
        <v>163</v>
      </c>
      <c r="C16" s="64">
        <v>42177786.857582599</v>
      </c>
      <c r="D16" s="81">
        <v>3357726.9619083102</v>
      </c>
      <c r="E16" s="53">
        <v>0</v>
      </c>
      <c r="F16" s="53">
        <v>0</v>
      </c>
      <c r="G16" s="53">
        <v>0</v>
      </c>
      <c r="H16" s="53">
        <v>0</v>
      </c>
      <c r="I16" s="53">
        <v>2304910.4912481802</v>
      </c>
      <c r="J16" s="53">
        <v>269928.03876674798</v>
      </c>
      <c r="K16" s="53">
        <v>188636.54253494999</v>
      </c>
      <c r="L16" s="53">
        <v>167511.87187630899</v>
      </c>
      <c r="M16" s="53">
        <v>3901030.9775769501</v>
      </c>
      <c r="N16" s="53">
        <v>18258680.2522333</v>
      </c>
      <c r="O16" s="53">
        <v>32028.067841395699</v>
      </c>
      <c r="P16" s="53">
        <v>6175576.7935695499</v>
      </c>
      <c r="Q16" s="64">
        <v>24978351.5601677</v>
      </c>
      <c r="R16" s="64">
        <v>215242.39661772299</v>
      </c>
      <c r="S16" s="64">
        <v>0</v>
      </c>
      <c r="T16" s="64">
        <v>259692.89111643701</v>
      </c>
      <c r="U16" s="64">
        <v>5580506.1010667197</v>
      </c>
      <c r="V16" s="64"/>
      <c r="W16" s="64"/>
    </row>
    <row r="17" spans="1:23" ht="16" x14ac:dyDescent="0.2">
      <c r="A17" s="52" t="s">
        <v>35</v>
      </c>
      <c r="B17" s="56" t="s">
        <v>164</v>
      </c>
      <c r="C17" s="64">
        <v>2895570.0802316801</v>
      </c>
      <c r="D17" s="81">
        <v>301277.846103421</v>
      </c>
      <c r="E17" s="53">
        <v>0</v>
      </c>
      <c r="F17" s="53">
        <v>0</v>
      </c>
      <c r="G17" s="53">
        <v>0</v>
      </c>
      <c r="H17" s="53">
        <v>0</v>
      </c>
      <c r="I17" s="53">
        <v>421251.71506581199</v>
      </c>
      <c r="J17" s="53">
        <v>325392.24985795701</v>
      </c>
      <c r="K17" s="53">
        <v>0</v>
      </c>
      <c r="L17" s="53">
        <v>28312.308583295198</v>
      </c>
      <c r="M17" s="53">
        <v>89950658.510133103</v>
      </c>
      <c r="N17" s="53">
        <v>2543271.89694012</v>
      </c>
      <c r="O17" s="53">
        <v>0</v>
      </c>
      <c r="P17" s="53">
        <v>15041184.765555499</v>
      </c>
      <c r="Q17" s="64">
        <v>6994559.03121881</v>
      </c>
      <c r="R17" s="64">
        <v>106350.708633988</v>
      </c>
      <c r="S17" s="64">
        <v>3990.2072717722599</v>
      </c>
      <c r="T17" s="64">
        <v>112295.803525191</v>
      </c>
      <c r="U17" s="64">
        <v>6457947.5262177</v>
      </c>
      <c r="V17" s="64"/>
      <c r="W17" s="64"/>
    </row>
    <row r="18" spans="1:23" ht="16" x14ac:dyDescent="0.2">
      <c r="A18" s="52" t="s">
        <v>36</v>
      </c>
      <c r="B18" s="56" t="s">
        <v>164</v>
      </c>
      <c r="C18" s="64">
        <v>3041357.0447311299</v>
      </c>
      <c r="D18" s="81">
        <v>149062.72749322499</v>
      </c>
      <c r="E18" s="53">
        <v>0</v>
      </c>
      <c r="F18" s="53">
        <v>0</v>
      </c>
      <c r="G18" s="53">
        <v>0</v>
      </c>
      <c r="H18" s="53">
        <v>0</v>
      </c>
      <c r="I18" s="53">
        <v>692702.71982529305</v>
      </c>
      <c r="J18" s="53">
        <v>246161.95985757999</v>
      </c>
      <c r="K18" s="53">
        <v>182002.42482307099</v>
      </c>
      <c r="L18" s="53">
        <v>29621.346653014702</v>
      </c>
      <c r="M18" s="53">
        <v>55929836.365901403</v>
      </c>
      <c r="N18" s="53">
        <v>1874481.2846506101</v>
      </c>
      <c r="O18" s="53">
        <v>0</v>
      </c>
      <c r="P18" s="53">
        <v>13486419.4093512</v>
      </c>
      <c r="Q18" s="64">
        <v>8176087.4679739801</v>
      </c>
      <c r="R18" s="64">
        <v>61379.6687105858</v>
      </c>
      <c r="S18" s="64">
        <v>0</v>
      </c>
      <c r="T18" s="64">
        <v>116588.819900203</v>
      </c>
      <c r="U18" s="64">
        <v>5740082.5766105903</v>
      </c>
      <c r="V18" s="64"/>
      <c r="W18" s="64"/>
    </row>
    <row r="19" spans="1:23" ht="16" x14ac:dyDescent="0.2">
      <c r="A19" s="52" t="s">
        <v>37</v>
      </c>
      <c r="B19" s="56" t="s">
        <v>164</v>
      </c>
      <c r="C19" s="64">
        <v>3019195.08055904</v>
      </c>
      <c r="D19" s="81">
        <v>287361.01055236498</v>
      </c>
      <c r="E19" s="53">
        <v>0</v>
      </c>
      <c r="F19" s="53">
        <v>0</v>
      </c>
      <c r="G19" s="53">
        <v>0</v>
      </c>
      <c r="H19" s="53">
        <v>0</v>
      </c>
      <c r="I19" s="53">
        <v>677165.44485336705</v>
      </c>
      <c r="J19" s="53">
        <v>225190.913475376</v>
      </c>
      <c r="K19" s="53">
        <v>202871.827611352</v>
      </c>
      <c r="L19" s="53">
        <v>23409.426958604799</v>
      </c>
      <c r="M19" s="53">
        <v>53428191.359443799</v>
      </c>
      <c r="N19" s="53">
        <v>2238974.2853540001</v>
      </c>
      <c r="O19" s="53">
        <v>6163.8311364979099</v>
      </c>
      <c r="P19" s="53">
        <v>15361677.6662836</v>
      </c>
      <c r="Q19" s="64">
        <v>11942184.789071299</v>
      </c>
      <c r="R19" s="64">
        <v>112318.503327935</v>
      </c>
      <c r="S19" s="64">
        <v>0</v>
      </c>
      <c r="T19" s="64">
        <v>104811.419760335</v>
      </c>
      <c r="U19" s="64">
        <v>6684884.2887567999</v>
      </c>
      <c r="V19" s="64"/>
      <c r="W19" s="64"/>
    </row>
    <row r="20" spans="1:23" ht="16" x14ac:dyDescent="0.2">
      <c r="A20" s="52" t="s">
        <v>38</v>
      </c>
      <c r="B20" s="56" t="s">
        <v>165</v>
      </c>
      <c r="C20" s="64">
        <v>41245443.281144798</v>
      </c>
      <c r="D20" s="81">
        <v>157163.16721788599</v>
      </c>
      <c r="E20" s="53">
        <v>163361.45876468299</v>
      </c>
      <c r="F20" s="53">
        <v>0</v>
      </c>
      <c r="G20" s="53">
        <v>0</v>
      </c>
      <c r="H20" s="53">
        <v>0</v>
      </c>
      <c r="I20" s="53">
        <v>577412.24942869402</v>
      </c>
      <c r="J20" s="53">
        <v>170300.15043367</v>
      </c>
      <c r="K20" s="53">
        <v>169540.43712086399</v>
      </c>
      <c r="L20" s="53">
        <v>30100.692541182802</v>
      </c>
      <c r="M20" s="53">
        <v>2284815.3921197201</v>
      </c>
      <c r="N20" s="53">
        <v>2334964.3186098202</v>
      </c>
      <c r="O20" s="53">
        <v>24414.342062228501</v>
      </c>
      <c r="P20" s="53">
        <v>3997091.5563809201</v>
      </c>
      <c r="Q20" s="64">
        <v>24613769.781422298</v>
      </c>
      <c r="R20" s="64">
        <v>112352.82036363</v>
      </c>
      <c r="S20" s="64">
        <v>0</v>
      </c>
      <c r="T20" s="64">
        <v>115966.144178915</v>
      </c>
      <c r="U20" s="64">
        <v>6788950.0641327603</v>
      </c>
      <c r="V20" s="64"/>
      <c r="W20" s="64"/>
    </row>
    <row r="21" spans="1:23" ht="16" x14ac:dyDescent="0.2">
      <c r="A21" s="52" t="s">
        <v>39</v>
      </c>
      <c r="B21" s="56" t="s">
        <v>165</v>
      </c>
      <c r="C21" s="64">
        <v>46959576.764671899</v>
      </c>
      <c r="D21" s="81">
        <v>294774.83585454</v>
      </c>
      <c r="E21" s="53">
        <v>85931.502294349397</v>
      </c>
      <c r="F21" s="53">
        <v>0</v>
      </c>
      <c r="G21" s="53">
        <v>0</v>
      </c>
      <c r="H21" s="53">
        <v>0</v>
      </c>
      <c r="I21" s="53">
        <v>616071.17360399803</v>
      </c>
      <c r="J21" s="53">
        <v>120009.85722830601</v>
      </c>
      <c r="K21" s="53">
        <v>185212.318972126</v>
      </c>
      <c r="L21" s="53">
        <v>23835.544699149399</v>
      </c>
      <c r="M21" s="53">
        <v>1859867.53564964</v>
      </c>
      <c r="N21" s="53">
        <v>2413334.3690113402</v>
      </c>
      <c r="O21" s="53">
        <v>28521.2614483301</v>
      </c>
      <c r="P21" s="53">
        <v>4030648.9776997799</v>
      </c>
      <c r="Q21" s="64">
        <v>23942162.416668199</v>
      </c>
      <c r="R21" s="64">
        <v>107151.656522933</v>
      </c>
      <c r="S21" s="64">
        <v>0</v>
      </c>
      <c r="T21" s="64">
        <v>147083.84140756799</v>
      </c>
      <c r="U21" s="64">
        <v>7018329.7342943298</v>
      </c>
      <c r="V21" s="64"/>
      <c r="W21" s="64"/>
    </row>
    <row r="22" spans="1:23" ht="16" x14ac:dyDescent="0.2">
      <c r="A22" s="52" t="s">
        <v>40</v>
      </c>
      <c r="B22" s="56" t="s">
        <v>165</v>
      </c>
      <c r="C22" s="64">
        <v>45194861.303251103</v>
      </c>
      <c r="D22" s="81">
        <v>296319.073819182</v>
      </c>
      <c r="E22" s="53">
        <v>126519.679949506</v>
      </c>
      <c r="F22" s="53">
        <v>0</v>
      </c>
      <c r="G22" s="53">
        <v>0</v>
      </c>
      <c r="H22" s="53">
        <v>0</v>
      </c>
      <c r="I22" s="53">
        <v>597230.11567705101</v>
      </c>
      <c r="J22" s="53">
        <v>170163.28103397699</v>
      </c>
      <c r="K22" s="53">
        <v>181199.31164680299</v>
      </c>
      <c r="L22" s="53">
        <v>22298.426201204598</v>
      </c>
      <c r="M22" s="53">
        <v>2332005.0429522102</v>
      </c>
      <c r="N22" s="53">
        <v>2392320.1404178701</v>
      </c>
      <c r="O22" s="53">
        <v>0</v>
      </c>
      <c r="P22" s="53">
        <v>3827055.8768173698</v>
      </c>
      <c r="Q22" s="64">
        <v>24472698.985468298</v>
      </c>
      <c r="R22" s="64">
        <v>134604.047356422</v>
      </c>
      <c r="S22" s="64">
        <v>0</v>
      </c>
      <c r="T22" s="64">
        <v>96251.835199747293</v>
      </c>
      <c r="U22" s="64">
        <v>6454376.0582089303</v>
      </c>
      <c r="V22" s="64"/>
      <c r="W22" s="64"/>
    </row>
    <row r="23" spans="1:23" ht="16" x14ac:dyDescent="0.2">
      <c r="A23" s="52" t="s">
        <v>41</v>
      </c>
      <c r="B23" s="56" t="s">
        <v>166</v>
      </c>
      <c r="C23" s="64">
        <v>28089550.450054999</v>
      </c>
      <c r="D23" s="81">
        <v>11150319.6472883</v>
      </c>
      <c r="E23" s="53">
        <v>1507239.9015916199</v>
      </c>
      <c r="F23" s="53">
        <v>0</v>
      </c>
      <c r="G23" s="53">
        <v>0</v>
      </c>
      <c r="H23" s="53">
        <v>0</v>
      </c>
      <c r="I23" s="53">
        <v>2142156.46291437</v>
      </c>
      <c r="J23" s="53">
        <v>181698.85164074201</v>
      </c>
      <c r="K23" s="53">
        <v>160876.699360028</v>
      </c>
      <c r="L23" s="53">
        <v>181100.43519229599</v>
      </c>
      <c r="M23" s="53">
        <v>1793605.5760265</v>
      </c>
      <c r="N23" s="53">
        <v>16486024.651255701</v>
      </c>
      <c r="O23" s="53">
        <v>0</v>
      </c>
      <c r="P23" s="53">
        <v>3822466.7792241098</v>
      </c>
      <c r="Q23" s="64">
        <v>20892104.7582989</v>
      </c>
      <c r="R23" s="64">
        <v>143918.34576950801</v>
      </c>
      <c r="S23" s="64">
        <v>11301.914188037301</v>
      </c>
      <c r="T23" s="64">
        <v>120204.24452830201</v>
      </c>
      <c r="U23" s="64">
        <v>5978117.5424712403</v>
      </c>
      <c r="V23" s="64"/>
      <c r="W23" s="64"/>
    </row>
    <row r="24" spans="1:23" ht="16" x14ac:dyDescent="0.2">
      <c r="A24" s="52" t="s">
        <v>42</v>
      </c>
      <c r="B24" s="56" t="s">
        <v>166</v>
      </c>
      <c r="C24" s="64">
        <v>25434519.946036801</v>
      </c>
      <c r="D24" s="81">
        <v>6749522.6376113202</v>
      </c>
      <c r="E24" s="53">
        <v>856278.62118166604</v>
      </c>
      <c r="F24" s="53">
        <v>0</v>
      </c>
      <c r="G24" s="53">
        <v>0</v>
      </c>
      <c r="H24" s="53">
        <v>0</v>
      </c>
      <c r="I24" s="53">
        <v>1939619.62785211</v>
      </c>
      <c r="J24" s="53">
        <v>157353.20152263201</v>
      </c>
      <c r="K24" s="53">
        <v>0</v>
      </c>
      <c r="L24" s="53">
        <v>162739.20057683601</v>
      </c>
      <c r="M24" s="53">
        <v>1392471.13359734</v>
      </c>
      <c r="N24" s="53">
        <v>16401015.907854401</v>
      </c>
      <c r="O24" s="53">
        <v>13347.358901564499</v>
      </c>
      <c r="P24" s="53">
        <v>3221538.7869234602</v>
      </c>
      <c r="Q24" s="64">
        <v>18524313.573969301</v>
      </c>
      <c r="R24" s="64">
        <v>132878.63540179201</v>
      </c>
      <c r="S24" s="64">
        <v>6929.9760561276098</v>
      </c>
      <c r="T24" s="64">
        <v>241059.644008106</v>
      </c>
      <c r="U24" s="64">
        <v>4893850.1055693198</v>
      </c>
      <c r="V24" s="64"/>
      <c r="W24" s="64"/>
    </row>
    <row r="25" spans="1:23" ht="16" x14ac:dyDescent="0.2">
      <c r="A25" s="52" t="s">
        <v>43</v>
      </c>
      <c r="B25" s="56" t="s">
        <v>166</v>
      </c>
      <c r="C25" s="64">
        <v>25814753.362902701</v>
      </c>
      <c r="D25" s="81">
        <v>19574207.134315699</v>
      </c>
      <c r="E25" s="53">
        <v>997443.32949742104</v>
      </c>
      <c r="F25" s="53">
        <v>0</v>
      </c>
      <c r="G25" s="53">
        <v>0</v>
      </c>
      <c r="H25" s="53">
        <v>0</v>
      </c>
      <c r="I25" s="53">
        <v>1697352.0205875901</v>
      </c>
      <c r="J25" s="53">
        <v>166806.38160102701</v>
      </c>
      <c r="K25" s="53">
        <v>157595.520647019</v>
      </c>
      <c r="L25" s="53">
        <v>147759.98299855899</v>
      </c>
      <c r="M25" s="53">
        <v>1400621.4482775</v>
      </c>
      <c r="N25" s="53">
        <v>15628126.356877901</v>
      </c>
      <c r="O25" s="53">
        <v>0</v>
      </c>
      <c r="P25" s="53">
        <v>3027652.8930299599</v>
      </c>
      <c r="Q25" s="64">
        <v>19379937.200079001</v>
      </c>
      <c r="R25" s="64">
        <v>154409.493970132</v>
      </c>
      <c r="S25" s="64">
        <v>0</v>
      </c>
      <c r="T25" s="64">
        <v>204633.735024252</v>
      </c>
      <c r="U25" s="64">
        <v>4837840.5489733899</v>
      </c>
      <c r="V25" s="64"/>
      <c r="W25" s="64"/>
    </row>
    <row r="26" spans="1:23" ht="16" x14ac:dyDescent="0.2">
      <c r="A26" s="52" t="s">
        <v>44</v>
      </c>
      <c r="B26" s="56" t="s">
        <v>167</v>
      </c>
      <c r="C26" s="64">
        <v>26798995.7443799</v>
      </c>
      <c r="D26" s="81">
        <v>1567495.7379384399</v>
      </c>
      <c r="E26" s="53">
        <v>91421.533035356595</v>
      </c>
      <c r="F26" s="53">
        <v>0</v>
      </c>
      <c r="G26" s="53">
        <v>222909.904332201</v>
      </c>
      <c r="H26" s="53">
        <v>0</v>
      </c>
      <c r="I26" s="53">
        <v>209951.672372384</v>
      </c>
      <c r="J26" s="53">
        <v>6022.8568868578004</v>
      </c>
      <c r="K26" s="53">
        <v>266725.03771410801</v>
      </c>
      <c r="L26" s="53">
        <v>516245.903652307</v>
      </c>
      <c r="M26" s="53">
        <v>7426321.5597265903</v>
      </c>
      <c r="N26" s="53">
        <v>28422471.806480199</v>
      </c>
      <c r="O26" s="53">
        <v>102727.609364453</v>
      </c>
      <c r="P26" s="53">
        <v>15489628.458518101</v>
      </c>
      <c r="Q26" s="64">
        <v>18877416.518090401</v>
      </c>
      <c r="R26" s="64">
        <v>161760.19884239099</v>
      </c>
      <c r="S26" s="64">
        <v>80137.010671799799</v>
      </c>
      <c r="T26" s="64">
        <v>37690.1447466397</v>
      </c>
      <c r="U26" s="64">
        <v>7552653.3487048596</v>
      </c>
      <c r="V26" s="64"/>
      <c r="W26" s="64"/>
    </row>
    <row r="27" spans="1:23" ht="16" x14ac:dyDescent="0.2">
      <c r="A27" s="52" t="s">
        <v>45</v>
      </c>
      <c r="B27" s="56" t="s">
        <v>167</v>
      </c>
      <c r="C27" s="64">
        <v>14453837.906302899</v>
      </c>
      <c r="D27" s="81">
        <v>1906021.3564037799</v>
      </c>
      <c r="E27" s="53">
        <v>40502.228847897903</v>
      </c>
      <c r="F27" s="53">
        <v>0</v>
      </c>
      <c r="G27" s="53">
        <v>128209.240408688</v>
      </c>
      <c r="H27" s="53">
        <v>0</v>
      </c>
      <c r="I27" s="53">
        <v>240603.899328081</v>
      </c>
      <c r="J27" s="53">
        <v>521805.23231632001</v>
      </c>
      <c r="K27" s="53">
        <v>250202.022859527</v>
      </c>
      <c r="L27" s="53">
        <v>329480.02553633897</v>
      </c>
      <c r="M27" s="53">
        <v>5100530.8339958899</v>
      </c>
      <c r="N27" s="53">
        <v>16286779.2664697</v>
      </c>
      <c r="O27" s="53">
        <v>32961.087309158102</v>
      </c>
      <c r="P27" s="53">
        <v>8585909.6061954908</v>
      </c>
      <c r="Q27" s="64">
        <v>11463990.6749915</v>
      </c>
      <c r="R27" s="64">
        <v>91060.260228038795</v>
      </c>
      <c r="S27" s="64">
        <v>28833.767524286901</v>
      </c>
      <c r="T27" s="64">
        <v>16542.8135333018</v>
      </c>
      <c r="U27" s="64">
        <v>5298947.4898435604</v>
      </c>
      <c r="V27" s="64"/>
      <c r="W27" s="64"/>
    </row>
    <row r="28" spans="1:23" ht="16" x14ac:dyDescent="0.2">
      <c r="A28" s="52" t="s">
        <v>46</v>
      </c>
      <c r="B28" s="56" t="s">
        <v>167</v>
      </c>
      <c r="C28" s="64">
        <v>21981926.654068299</v>
      </c>
      <c r="D28" s="81">
        <v>3123331.5126408399</v>
      </c>
      <c r="E28" s="53">
        <v>597937.64672455995</v>
      </c>
      <c r="F28" s="53">
        <v>0</v>
      </c>
      <c r="G28" s="53">
        <v>197918.26652057201</v>
      </c>
      <c r="H28" s="53">
        <v>0</v>
      </c>
      <c r="I28" s="53">
        <v>309482.38641032402</v>
      </c>
      <c r="J28" s="53">
        <v>383878.51291807299</v>
      </c>
      <c r="K28" s="53">
        <v>409321.98196409899</v>
      </c>
      <c r="L28" s="53">
        <v>442414.06736682297</v>
      </c>
      <c r="M28" s="53">
        <v>17840930.679268099</v>
      </c>
      <c r="N28" s="53">
        <v>22749545.181255098</v>
      </c>
      <c r="O28" s="53">
        <v>0</v>
      </c>
      <c r="P28" s="53">
        <v>15802475.327217299</v>
      </c>
      <c r="Q28" s="64">
        <v>11056346.5042975</v>
      </c>
      <c r="R28" s="64">
        <v>167671.99585529999</v>
      </c>
      <c r="S28" s="64">
        <v>70261.663252362603</v>
      </c>
      <c r="T28" s="64">
        <v>14634.3203148459</v>
      </c>
      <c r="U28" s="64">
        <v>7074180.3047846695</v>
      </c>
      <c r="V28" s="64"/>
      <c r="W28" s="64"/>
    </row>
    <row r="29" spans="1:23" ht="16" x14ac:dyDescent="0.2">
      <c r="A29" s="52" t="s">
        <v>47</v>
      </c>
      <c r="B29" s="56" t="s">
        <v>168</v>
      </c>
      <c r="C29" s="64">
        <v>3355962.00644759</v>
      </c>
      <c r="D29" s="81">
        <v>832009.76258359104</v>
      </c>
      <c r="E29" s="53">
        <v>0</v>
      </c>
      <c r="F29" s="53">
        <v>0</v>
      </c>
      <c r="G29" s="53">
        <v>172847.59659464</v>
      </c>
      <c r="H29" s="53">
        <v>0</v>
      </c>
      <c r="I29" s="53">
        <v>1821345.7957386901</v>
      </c>
      <c r="J29" s="53">
        <v>1236360.4141342901</v>
      </c>
      <c r="K29" s="53">
        <v>397766.10740654101</v>
      </c>
      <c r="L29" s="53">
        <v>249030.39707710099</v>
      </c>
      <c r="M29" s="53">
        <v>61777646.880206503</v>
      </c>
      <c r="N29" s="53">
        <v>13538904.8838866</v>
      </c>
      <c r="O29" s="53">
        <v>112620.27420630099</v>
      </c>
      <c r="P29" s="53">
        <v>22680301.768384699</v>
      </c>
      <c r="Q29" s="64">
        <v>12753537.3462632</v>
      </c>
      <c r="R29" s="64">
        <v>219950.81428485701</v>
      </c>
      <c r="S29" s="64">
        <v>68347.899241620195</v>
      </c>
      <c r="T29" s="64">
        <v>303492.10785000102</v>
      </c>
      <c r="U29" s="64">
        <v>7833380.8514643703</v>
      </c>
      <c r="V29" s="64"/>
      <c r="W29" s="64"/>
    </row>
    <row r="30" spans="1:23" ht="16" x14ac:dyDescent="0.2">
      <c r="A30" s="52" t="s">
        <v>48</v>
      </c>
      <c r="B30" s="56" t="s">
        <v>168</v>
      </c>
      <c r="C30" s="64">
        <v>3048769.4274545</v>
      </c>
      <c r="D30" s="81">
        <v>853179.77930826298</v>
      </c>
      <c r="E30" s="53">
        <v>0</v>
      </c>
      <c r="F30" s="53">
        <v>0</v>
      </c>
      <c r="G30" s="53">
        <v>155192.402262989</v>
      </c>
      <c r="H30" s="53">
        <v>0</v>
      </c>
      <c r="I30" s="53">
        <v>1383923.3176993399</v>
      </c>
      <c r="J30" s="53">
        <v>583392.60144551203</v>
      </c>
      <c r="K30" s="53">
        <v>513104.60278692399</v>
      </c>
      <c r="L30" s="53">
        <v>225270.47111536301</v>
      </c>
      <c r="M30" s="53">
        <v>63642183.586545303</v>
      </c>
      <c r="N30" s="53">
        <v>12389755.2311274</v>
      </c>
      <c r="O30" s="53">
        <v>16428.131502690099</v>
      </c>
      <c r="P30" s="53">
        <v>21799349.9353594</v>
      </c>
      <c r="Q30" s="64">
        <v>10391063.6836798</v>
      </c>
      <c r="R30" s="64">
        <v>236412.00526597101</v>
      </c>
      <c r="S30" s="64">
        <v>67945.294275935899</v>
      </c>
      <c r="T30" s="64">
        <v>285473.238190473</v>
      </c>
      <c r="U30" s="64">
        <v>9328565.5094254501</v>
      </c>
      <c r="V30" s="64"/>
      <c r="W30" s="64"/>
    </row>
    <row r="31" spans="1:23" ht="16" x14ac:dyDescent="0.2">
      <c r="A31" s="52" t="s">
        <v>49</v>
      </c>
      <c r="B31" s="56" t="s">
        <v>168</v>
      </c>
      <c r="C31" s="64">
        <v>2995179.7760427701</v>
      </c>
      <c r="D31" s="81">
        <v>1326156.8200233199</v>
      </c>
      <c r="E31" s="53">
        <v>0</v>
      </c>
      <c r="F31" s="53">
        <v>0</v>
      </c>
      <c r="G31" s="53">
        <v>173544.124945018</v>
      </c>
      <c r="H31" s="53">
        <v>0</v>
      </c>
      <c r="I31" s="53">
        <v>1856942.4665552501</v>
      </c>
      <c r="J31" s="53">
        <v>619226.12900192395</v>
      </c>
      <c r="K31" s="53">
        <v>459266.87626026699</v>
      </c>
      <c r="L31" s="53">
        <v>217001.81715831999</v>
      </c>
      <c r="M31" s="53">
        <v>84842238.707176507</v>
      </c>
      <c r="N31" s="53">
        <v>12285353.833523599</v>
      </c>
      <c r="O31" s="53">
        <v>65213.778042553698</v>
      </c>
      <c r="P31" s="53">
        <v>23041411.2084186</v>
      </c>
      <c r="Q31" s="64">
        <v>8900640.8099870998</v>
      </c>
      <c r="R31" s="64">
        <v>226316.51224611199</v>
      </c>
      <c r="S31" s="64">
        <v>71419.372442805397</v>
      </c>
      <c r="T31" s="64">
        <v>312709.78518101998</v>
      </c>
      <c r="U31" s="64">
        <v>9316103.47175299</v>
      </c>
      <c r="V31" s="64"/>
      <c r="W31" s="64"/>
    </row>
    <row r="32" spans="1:23" ht="16" x14ac:dyDescent="0.2">
      <c r="A32" s="52" t="s">
        <v>50</v>
      </c>
      <c r="B32" s="56" t="s">
        <v>169</v>
      </c>
      <c r="C32" s="64">
        <v>40437040.503075697</v>
      </c>
      <c r="D32" s="81">
        <v>935333.21846583695</v>
      </c>
      <c r="E32" s="53">
        <v>265458.89494206</v>
      </c>
      <c r="F32" s="53">
        <v>0</v>
      </c>
      <c r="G32" s="53">
        <v>237883.73429436499</v>
      </c>
      <c r="H32" s="53">
        <v>0</v>
      </c>
      <c r="I32" s="53">
        <v>2042721.64937457</v>
      </c>
      <c r="J32" s="53">
        <v>806727.56519571797</v>
      </c>
      <c r="K32" s="53">
        <v>424097.77174690401</v>
      </c>
      <c r="L32" s="53">
        <v>252233.43473370399</v>
      </c>
      <c r="M32" s="53">
        <v>2448980.7515723398</v>
      </c>
      <c r="N32" s="53">
        <v>15542370.0919223</v>
      </c>
      <c r="O32" s="53">
        <v>139065.851102393</v>
      </c>
      <c r="P32" s="53">
        <v>10077501.418870701</v>
      </c>
      <c r="Q32" s="64">
        <v>24237686.706335898</v>
      </c>
      <c r="R32" s="64">
        <v>248222.64499910601</v>
      </c>
      <c r="S32" s="64">
        <v>48118.466372036797</v>
      </c>
      <c r="T32" s="64">
        <v>363089.11512716999</v>
      </c>
      <c r="U32" s="64">
        <v>13019964.860041101</v>
      </c>
      <c r="V32" s="64"/>
      <c r="W32" s="64"/>
    </row>
    <row r="33" spans="1:23" ht="16" x14ac:dyDescent="0.2">
      <c r="A33" s="52" t="s">
        <v>51</v>
      </c>
      <c r="B33" s="56" t="s">
        <v>169</v>
      </c>
      <c r="C33" s="64">
        <v>53171500.868527398</v>
      </c>
      <c r="D33" s="81">
        <v>1062994.35362044</v>
      </c>
      <c r="E33" s="53">
        <v>249768.596456367</v>
      </c>
      <c r="F33" s="53">
        <v>0</v>
      </c>
      <c r="G33" s="53">
        <v>263550.39670361002</v>
      </c>
      <c r="H33" s="53">
        <v>0</v>
      </c>
      <c r="I33" s="53">
        <v>2321983.3407479399</v>
      </c>
      <c r="J33" s="53">
        <v>1018388.77951761</v>
      </c>
      <c r="K33" s="53">
        <v>476533.522489772</v>
      </c>
      <c r="L33" s="53">
        <v>269918.72066324</v>
      </c>
      <c r="M33" s="53">
        <v>3504328.2820874299</v>
      </c>
      <c r="N33" s="53">
        <v>18354291.721043698</v>
      </c>
      <c r="O33" s="53">
        <v>104519.40293544601</v>
      </c>
      <c r="P33" s="53">
        <v>11121090.1020783</v>
      </c>
      <c r="Q33" s="64">
        <v>27150365.789866701</v>
      </c>
      <c r="R33" s="64">
        <v>246599.15945715099</v>
      </c>
      <c r="S33" s="64">
        <v>91546.447317831306</v>
      </c>
      <c r="T33" s="64">
        <v>431338.22616445698</v>
      </c>
      <c r="U33" s="64">
        <v>12319928.687161</v>
      </c>
      <c r="V33" s="64"/>
      <c r="W33" s="64"/>
    </row>
    <row r="34" spans="1:23" ht="16" x14ac:dyDescent="0.2">
      <c r="A34" s="52" t="s">
        <v>52</v>
      </c>
      <c r="B34" s="56" t="s">
        <v>169</v>
      </c>
      <c r="C34" s="64">
        <v>43974790.236830197</v>
      </c>
      <c r="D34" s="81">
        <v>808491.29264439305</v>
      </c>
      <c r="E34" s="53">
        <v>287896.36348938401</v>
      </c>
      <c r="F34" s="53">
        <v>0</v>
      </c>
      <c r="G34" s="53">
        <v>264745.30337508197</v>
      </c>
      <c r="H34" s="53">
        <v>0</v>
      </c>
      <c r="I34" s="53">
        <v>2427311.4667738699</v>
      </c>
      <c r="J34" s="53">
        <v>778605.26572733105</v>
      </c>
      <c r="K34" s="53">
        <v>442431.31586440798</v>
      </c>
      <c r="L34" s="53">
        <v>265756.46646742598</v>
      </c>
      <c r="M34" s="53">
        <v>3879184.8699920801</v>
      </c>
      <c r="N34" s="53">
        <v>16991295.812380999</v>
      </c>
      <c r="O34" s="53">
        <v>106943.777212386</v>
      </c>
      <c r="P34" s="53">
        <v>11156038.8803121</v>
      </c>
      <c r="Q34" s="64">
        <v>32359110.664359</v>
      </c>
      <c r="R34" s="64">
        <v>277398.795228437</v>
      </c>
      <c r="S34" s="64">
        <v>80599.385626175004</v>
      </c>
      <c r="T34" s="64">
        <v>423205.027478965</v>
      </c>
      <c r="U34" s="64">
        <v>12286210.5000176</v>
      </c>
      <c r="V34" s="64"/>
      <c r="W34" s="64"/>
    </row>
    <row r="35" spans="1:23" ht="16" x14ac:dyDescent="0.2">
      <c r="A35" s="52" t="s">
        <v>53</v>
      </c>
      <c r="B35" s="56" t="s">
        <v>170</v>
      </c>
      <c r="C35" s="64">
        <v>0</v>
      </c>
      <c r="D35" s="81">
        <v>10339279.838909401</v>
      </c>
      <c r="E35" s="53">
        <v>3841475.2478651898</v>
      </c>
      <c r="F35" s="53">
        <v>0</v>
      </c>
      <c r="G35" s="53">
        <v>188514.32715988799</v>
      </c>
      <c r="H35" s="53">
        <v>0</v>
      </c>
      <c r="I35" s="53">
        <v>1582959.06850614</v>
      </c>
      <c r="J35" s="53">
        <v>761401.272677831</v>
      </c>
      <c r="K35" s="53">
        <v>325913.53418075101</v>
      </c>
      <c r="L35" s="53">
        <v>372676.51526096102</v>
      </c>
      <c r="M35" s="53">
        <v>2373773.8406250998</v>
      </c>
      <c r="N35" s="53">
        <v>27669511.838989701</v>
      </c>
      <c r="O35" s="53">
        <v>28067.307254474799</v>
      </c>
      <c r="P35" s="53">
        <v>8756636.8788624909</v>
      </c>
      <c r="Q35" s="64">
        <v>20686990.097898599</v>
      </c>
      <c r="R35" s="64">
        <v>299121.70652882202</v>
      </c>
      <c r="S35" s="64">
        <v>53008.318935155599</v>
      </c>
      <c r="T35" s="64">
        <v>264567.19232578902</v>
      </c>
      <c r="U35" s="64">
        <v>10168879.801859001</v>
      </c>
      <c r="V35" s="64"/>
      <c r="W35" s="64"/>
    </row>
    <row r="36" spans="1:23" ht="16" x14ac:dyDescent="0.2">
      <c r="A36" s="52" t="s">
        <v>54</v>
      </c>
      <c r="B36" s="56" t="s">
        <v>170</v>
      </c>
      <c r="C36" s="64">
        <v>30013361.2584447</v>
      </c>
      <c r="D36" s="81">
        <v>4441669.5865287296</v>
      </c>
      <c r="E36" s="53">
        <v>3612506.1262693298</v>
      </c>
      <c r="F36" s="53">
        <v>0</v>
      </c>
      <c r="G36" s="53">
        <v>224781.075250186</v>
      </c>
      <c r="H36" s="53">
        <v>0</v>
      </c>
      <c r="I36" s="53">
        <v>2299238.15558297</v>
      </c>
      <c r="J36" s="53">
        <v>969379.83338856394</v>
      </c>
      <c r="K36" s="53">
        <v>410224.79413745902</v>
      </c>
      <c r="L36" s="53">
        <v>415347.05033698602</v>
      </c>
      <c r="M36" s="53">
        <v>2446283.0841640602</v>
      </c>
      <c r="N36" s="53">
        <v>31200023.021917202</v>
      </c>
      <c r="O36" s="53">
        <v>55167.250664925501</v>
      </c>
      <c r="P36" s="53">
        <v>9491844.7040435299</v>
      </c>
      <c r="Q36" s="64">
        <v>24547435.4760915</v>
      </c>
      <c r="R36" s="64">
        <v>300677.298537125</v>
      </c>
      <c r="S36" s="64">
        <v>63890.7019469183</v>
      </c>
      <c r="T36" s="64">
        <v>379443.64529555402</v>
      </c>
      <c r="U36" s="64">
        <v>10945033.981566099</v>
      </c>
      <c r="V36" s="64"/>
      <c r="W36" s="64"/>
    </row>
    <row r="37" spans="1:23" ht="16" x14ac:dyDescent="0.2">
      <c r="A37" s="52" t="s">
        <v>55</v>
      </c>
      <c r="B37" s="56" t="s">
        <v>170</v>
      </c>
      <c r="C37" s="64">
        <v>39778672.033433698</v>
      </c>
      <c r="D37" s="81">
        <v>8757185.7376716007</v>
      </c>
      <c r="E37" s="53">
        <v>6385572.6537453197</v>
      </c>
      <c r="F37" s="53">
        <v>0</v>
      </c>
      <c r="G37" s="53">
        <v>232232.564555041</v>
      </c>
      <c r="H37" s="53">
        <v>0</v>
      </c>
      <c r="I37" s="53">
        <v>2341526.36356339</v>
      </c>
      <c r="J37" s="53">
        <v>757695.88819759199</v>
      </c>
      <c r="K37" s="53">
        <v>460217.12830350699</v>
      </c>
      <c r="L37" s="53">
        <v>464124.440051143</v>
      </c>
      <c r="M37" s="53">
        <v>2925030.4901701901</v>
      </c>
      <c r="N37" s="53">
        <v>33517003.8285424</v>
      </c>
      <c r="O37" s="53">
        <v>45269.437703262403</v>
      </c>
      <c r="P37" s="53">
        <v>8838713.5776434802</v>
      </c>
      <c r="Q37" s="64">
        <v>22355548.703382999</v>
      </c>
      <c r="R37" s="64">
        <v>338947.415003156</v>
      </c>
      <c r="S37" s="64">
        <v>74055.059716159201</v>
      </c>
      <c r="T37" s="64">
        <v>397611.60173719598</v>
      </c>
      <c r="U37" s="64">
        <v>11270699.7024043</v>
      </c>
      <c r="V37" s="64"/>
      <c r="W37" s="64"/>
    </row>
    <row r="38" spans="1:23" ht="16" x14ac:dyDescent="0.2">
      <c r="A38" s="52" t="s">
        <v>56</v>
      </c>
      <c r="B38" s="56" t="s">
        <v>171</v>
      </c>
      <c r="C38" s="64">
        <v>49065509.163968198</v>
      </c>
      <c r="D38" s="81">
        <v>10954547.3829356</v>
      </c>
      <c r="E38" s="53">
        <v>449691.17932503601</v>
      </c>
      <c r="F38" s="53">
        <v>0</v>
      </c>
      <c r="G38" s="53">
        <v>695147.69601642003</v>
      </c>
      <c r="H38" s="53">
        <v>0</v>
      </c>
      <c r="I38" s="53">
        <v>14534649.443150301</v>
      </c>
      <c r="J38" s="53">
        <v>6265026.27404691</v>
      </c>
      <c r="K38" s="53">
        <v>465213.99237915099</v>
      </c>
      <c r="L38" s="53">
        <v>755874.240303069</v>
      </c>
      <c r="M38" s="53">
        <v>9754415.0671290904</v>
      </c>
      <c r="N38" s="53">
        <v>87396076.407865494</v>
      </c>
      <c r="O38" s="53">
        <v>519440.00104250101</v>
      </c>
      <c r="P38" s="53">
        <v>36118498.114382997</v>
      </c>
      <c r="Q38" s="64">
        <v>86380075.431388393</v>
      </c>
      <c r="R38" s="64">
        <v>968772.01205787901</v>
      </c>
      <c r="S38" s="64">
        <v>238831.566852124</v>
      </c>
      <c r="T38" s="64">
        <v>1081237.41375571</v>
      </c>
      <c r="U38" s="64">
        <v>14309997.6597696</v>
      </c>
      <c r="V38" s="64"/>
      <c r="W38" s="64"/>
    </row>
    <row r="39" spans="1:23" ht="16" x14ac:dyDescent="0.2">
      <c r="A39" s="52" t="s">
        <v>57</v>
      </c>
      <c r="B39" s="56" t="s">
        <v>171</v>
      </c>
      <c r="C39" s="64">
        <v>35860319.762512602</v>
      </c>
      <c r="D39" s="81">
        <v>10667487.743461199</v>
      </c>
      <c r="E39" s="53">
        <v>605502.66812771605</v>
      </c>
      <c r="F39" s="53">
        <v>0</v>
      </c>
      <c r="G39" s="53">
        <v>749881.80633489299</v>
      </c>
      <c r="H39" s="53">
        <v>0</v>
      </c>
      <c r="I39" s="53">
        <v>15819685.793046501</v>
      </c>
      <c r="J39" s="53">
        <v>0</v>
      </c>
      <c r="K39" s="53">
        <v>576230.52607335802</v>
      </c>
      <c r="L39" s="53">
        <v>911826.77962501603</v>
      </c>
      <c r="M39" s="53">
        <v>11893697.630399199</v>
      </c>
      <c r="N39" s="53">
        <v>91633243.803942695</v>
      </c>
      <c r="O39" s="53">
        <v>579483.46487029595</v>
      </c>
      <c r="P39" s="53">
        <v>42036206.301402099</v>
      </c>
      <c r="Q39" s="64">
        <v>90372049.121517196</v>
      </c>
      <c r="R39" s="64">
        <v>1039881.99664264</v>
      </c>
      <c r="S39" s="64">
        <v>248451.05247773201</v>
      </c>
      <c r="T39" s="64">
        <v>1166690.1617318101</v>
      </c>
      <c r="U39" s="64">
        <v>8323033.8674090002</v>
      </c>
      <c r="V39" s="64"/>
      <c r="W39" s="64"/>
    </row>
    <row r="40" spans="1:23" ht="16" x14ac:dyDescent="0.2">
      <c r="A40" s="52" t="s">
        <v>58</v>
      </c>
      <c r="B40" s="56" t="s">
        <v>171</v>
      </c>
      <c r="C40" s="64">
        <v>82016514.257777601</v>
      </c>
      <c r="D40" s="81">
        <v>8528894.9911861494</v>
      </c>
      <c r="E40" s="53">
        <v>637557.87497022399</v>
      </c>
      <c r="F40" s="53">
        <v>0</v>
      </c>
      <c r="G40" s="53">
        <v>854520.19344215805</v>
      </c>
      <c r="H40" s="53">
        <v>0</v>
      </c>
      <c r="I40" s="53">
        <v>15739988.0466328</v>
      </c>
      <c r="J40" s="53">
        <v>0</v>
      </c>
      <c r="K40" s="53">
        <v>854769.24885469</v>
      </c>
      <c r="L40" s="53">
        <v>838391.04635523795</v>
      </c>
      <c r="M40" s="53">
        <v>12521087.819121299</v>
      </c>
      <c r="N40" s="53">
        <v>100454512.773655</v>
      </c>
      <c r="O40" s="53">
        <v>796272.59912239504</v>
      </c>
      <c r="P40" s="53">
        <v>40261833.3830209</v>
      </c>
      <c r="Q40" s="64">
        <v>82036255.151703596</v>
      </c>
      <c r="R40" s="64">
        <v>993309.11601460201</v>
      </c>
      <c r="S40" s="64">
        <v>283153.88579995802</v>
      </c>
      <c r="T40" s="64">
        <v>1517262.2556720099</v>
      </c>
      <c r="U40" s="64">
        <v>13830433.756376199</v>
      </c>
      <c r="V40" s="64"/>
      <c r="W40" s="64"/>
    </row>
    <row r="41" spans="1:23" ht="16" x14ac:dyDescent="0.2">
      <c r="A41" s="52" t="s">
        <v>59</v>
      </c>
      <c r="B41" s="56" t="s">
        <v>172</v>
      </c>
      <c r="C41" s="64">
        <v>0</v>
      </c>
      <c r="D41" s="81">
        <v>440310.43727160402</v>
      </c>
      <c r="E41" s="53">
        <v>0</v>
      </c>
      <c r="F41" s="53">
        <v>0</v>
      </c>
      <c r="G41" s="53">
        <v>192179.19171394699</v>
      </c>
      <c r="H41" s="53">
        <v>0</v>
      </c>
      <c r="I41" s="53">
        <v>3487189.7119300198</v>
      </c>
      <c r="J41" s="53">
        <v>4672307.4299331596</v>
      </c>
      <c r="K41" s="53">
        <v>1354332.4256657001</v>
      </c>
      <c r="L41" s="53">
        <v>144863.21718194699</v>
      </c>
      <c r="M41" s="53">
        <v>273488644.154634</v>
      </c>
      <c r="N41" s="53">
        <v>11075686.309384299</v>
      </c>
      <c r="O41" s="53">
        <v>291319.79592120502</v>
      </c>
      <c r="P41" s="53">
        <v>66351048.388438404</v>
      </c>
      <c r="Q41" s="64">
        <v>17852910.9678494</v>
      </c>
      <c r="R41" s="64">
        <v>512975.96888936497</v>
      </c>
      <c r="S41" s="64">
        <v>32170.662097418899</v>
      </c>
      <c r="T41" s="64">
        <v>711760.52857967105</v>
      </c>
      <c r="U41" s="64">
        <v>17744703.7230459</v>
      </c>
      <c r="V41" s="64"/>
      <c r="W41" s="64"/>
    </row>
    <row r="42" spans="1:23" ht="16" x14ac:dyDescent="0.2">
      <c r="A42" s="52" t="s">
        <v>60</v>
      </c>
      <c r="B42" s="56" t="s">
        <v>172</v>
      </c>
      <c r="C42" s="64">
        <v>2759326.92491335</v>
      </c>
      <c r="D42" s="81">
        <v>483772.88100432302</v>
      </c>
      <c r="E42" s="53">
        <v>0</v>
      </c>
      <c r="F42" s="53">
        <v>0</v>
      </c>
      <c r="G42" s="53">
        <v>161211.481203615</v>
      </c>
      <c r="H42" s="53">
        <v>0</v>
      </c>
      <c r="I42" s="53">
        <v>3742957.5212996202</v>
      </c>
      <c r="J42" s="53">
        <v>6138684.1207984099</v>
      </c>
      <c r="K42" s="53">
        <v>1027461.74561546</v>
      </c>
      <c r="L42" s="53">
        <v>113045.432795352</v>
      </c>
      <c r="M42" s="53">
        <v>189796398.75817201</v>
      </c>
      <c r="N42" s="53">
        <v>8675988.8762384001</v>
      </c>
      <c r="O42" s="53">
        <v>467373.33270843601</v>
      </c>
      <c r="P42" s="53">
        <v>64103291.910143502</v>
      </c>
      <c r="Q42" s="64">
        <v>20122798.719431199</v>
      </c>
      <c r="R42" s="64">
        <v>354458.81644802098</v>
      </c>
      <c r="S42" s="64">
        <v>11653.395395499399</v>
      </c>
      <c r="T42" s="64">
        <v>677040.25867476605</v>
      </c>
      <c r="U42" s="64">
        <v>16446573.329870701</v>
      </c>
      <c r="V42" s="64"/>
      <c r="W42" s="64"/>
    </row>
    <row r="43" spans="1:23" ht="16" x14ac:dyDescent="0.2">
      <c r="A43" s="52" t="s">
        <v>61</v>
      </c>
      <c r="B43" s="56" t="s">
        <v>172</v>
      </c>
      <c r="C43" s="64">
        <v>0</v>
      </c>
      <c r="D43" s="81">
        <v>1349748.46361239</v>
      </c>
      <c r="E43" s="53">
        <v>0</v>
      </c>
      <c r="F43" s="53">
        <v>0</v>
      </c>
      <c r="G43" s="53">
        <v>0</v>
      </c>
      <c r="H43" s="53">
        <v>0</v>
      </c>
      <c r="I43" s="53">
        <v>1627449.2079195001</v>
      </c>
      <c r="J43" s="53">
        <v>1605483.61886311</v>
      </c>
      <c r="K43" s="53">
        <v>466527.402308352</v>
      </c>
      <c r="L43" s="53">
        <v>66185.571239728903</v>
      </c>
      <c r="M43" s="53">
        <v>89241915.258172795</v>
      </c>
      <c r="N43" s="53">
        <v>3915131.28792573</v>
      </c>
      <c r="O43" s="53">
        <v>190761.41490698399</v>
      </c>
      <c r="P43" s="53">
        <v>29710455.505877201</v>
      </c>
      <c r="Q43" s="64">
        <v>14979410.776144501</v>
      </c>
      <c r="R43" s="64">
        <v>173299.11379135301</v>
      </c>
      <c r="S43" s="64">
        <v>0</v>
      </c>
      <c r="T43" s="64">
        <v>233578.41098017999</v>
      </c>
      <c r="U43" s="64">
        <v>12103389.048917601</v>
      </c>
      <c r="V43" s="64"/>
      <c r="W43" s="64"/>
    </row>
    <row r="44" spans="1:23" ht="16" x14ac:dyDescent="0.2">
      <c r="A44" s="52" t="s">
        <v>62</v>
      </c>
      <c r="B44" s="56" t="s">
        <v>173</v>
      </c>
      <c r="C44" s="64">
        <v>112193193.417037</v>
      </c>
      <c r="D44" s="81">
        <v>432366.081559374</v>
      </c>
      <c r="E44" s="53">
        <v>1555249.0439925599</v>
      </c>
      <c r="F44" s="53">
        <v>0</v>
      </c>
      <c r="G44" s="53">
        <v>724376.69443179795</v>
      </c>
      <c r="H44" s="53">
        <v>0</v>
      </c>
      <c r="I44" s="53">
        <v>2585865.85277736</v>
      </c>
      <c r="J44" s="53">
        <v>4602668.8656196203</v>
      </c>
      <c r="K44" s="53">
        <v>916467.61783526302</v>
      </c>
      <c r="L44" s="53">
        <v>148509.906217916</v>
      </c>
      <c r="M44" s="53">
        <v>5987862.0886752</v>
      </c>
      <c r="N44" s="53">
        <v>10068613.3428353</v>
      </c>
      <c r="O44" s="53">
        <v>570233.97942622204</v>
      </c>
      <c r="P44" s="53">
        <v>26301587.839203302</v>
      </c>
      <c r="Q44" s="64">
        <v>59923577.5703438</v>
      </c>
      <c r="R44" s="64">
        <v>545891.53136841697</v>
      </c>
      <c r="S44" s="64">
        <v>11725.574411578</v>
      </c>
      <c r="T44" s="64">
        <v>671940.47484935599</v>
      </c>
      <c r="U44" s="64">
        <v>20001236.4634073</v>
      </c>
      <c r="V44" s="64"/>
      <c r="W44" s="64"/>
    </row>
    <row r="45" spans="1:23" ht="16" x14ac:dyDescent="0.2">
      <c r="A45" s="52" t="s">
        <v>63</v>
      </c>
      <c r="B45" s="56" t="s">
        <v>173</v>
      </c>
      <c r="C45" s="64">
        <v>71094932.568341002</v>
      </c>
      <c r="D45" s="81">
        <v>580452.77610993595</v>
      </c>
      <c r="E45" s="53">
        <v>1264136.45787751</v>
      </c>
      <c r="F45" s="53">
        <v>0</v>
      </c>
      <c r="G45" s="53">
        <v>761535.107389463</v>
      </c>
      <c r="H45" s="53">
        <v>0</v>
      </c>
      <c r="I45" s="53">
        <v>2948109.4008278102</v>
      </c>
      <c r="J45" s="53">
        <v>7407962.2053871304</v>
      </c>
      <c r="K45" s="53">
        <v>948851.62814958801</v>
      </c>
      <c r="L45" s="53">
        <v>151539.41372971001</v>
      </c>
      <c r="M45" s="53">
        <v>6582675.4427088099</v>
      </c>
      <c r="N45" s="53">
        <v>11020691.1487645</v>
      </c>
      <c r="O45" s="53">
        <v>694147.33129692497</v>
      </c>
      <c r="P45" s="53">
        <v>29815749.317777202</v>
      </c>
      <c r="Q45" s="64">
        <v>59179842.229428098</v>
      </c>
      <c r="R45" s="64">
        <v>506919.46511275502</v>
      </c>
      <c r="S45" s="64">
        <v>34879.485449571301</v>
      </c>
      <c r="T45" s="64">
        <v>810247.51842611702</v>
      </c>
      <c r="U45" s="64">
        <v>20186519.8993042</v>
      </c>
      <c r="V45" s="64"/>
      <c r="W45" s="64"/>
    </row>
    <row r="46" spans="1:23" ht="16" x14ac:dyDescent="0.2">
      <c r="A46" s="52" t="s">
        <v>64</v>
      </c>
      <c r="B46" s="56" t="s">
        <v>173</v>
      </c>
      <c r="C46" s="64">
        <v>63633126.400472</v>
      </c>
      <c r="D46" s="81">
        <v>1281544.6343018401</v>
      </c>
      <c r="E46" s="53">
        <v>1398268.10274063</v>
      </c>
      <c r="F46" s="53">
        <v>0</v>
      </c>
      <c r="G46" s="53">
        <v>734902.49134999304</v>
      </c>
      <c r="H46" s="53">
        <v>0</v>
      </c>
      <c r="I46" s="53">
        <v>2854996.2386761401</v>
      </c>
      <c r="J46" s="53">
        <v>3810560.0332567799</v>
      </c>
      <c r="K46" s="53">
        <v>1035144.19498741</v>
      </c>
      <c r="L46" s="53">
        <v>153481.41112528701</v>
      </c>
      <c r="M46" s="53">
        <v>6637984.1111090798</v>
      </c>
      <c r="N46" s="53">
        <v>11502438.3935</v>
      </c>
      <c r="O46" s="53">
        <v>571658.770213802</v>
      </c>
      <c r="P46" s="53">
        <v>25961293.373795301</v>
      </c>
      <c r="Q46" s="64">
        <v>78526609.821609601</v>
      </c>
      <c r="R46" s="64">
        <v>622010.71490386198</v>
      </c>
      <c r="S46" s="64">
        <v>24185.143017341801</v>
      </c>
      <c r="T46" s="64">
        <v>727364.35575258394</v>
      </c>
      <c r="U46" s="64">
        <v>20154077.110865701</v>
      </c>
      <c r="V46" s="64"/>
      <c r="W46" s="64"/>
    </row>
    <row r="47" spans="1:23" ht="16" x14ac:dyDescent="0.2">
      <c r="A47" s="52" t="s">
        <v>65</v>
      </c>
      <c r="B47" s="56" t="s">
        <v>174</v>
      </c>
      <c r="C47" s="64">
        <v>56663816.082102403</v>
      </c>
      <c r="D47" s="81">
        <v>32649228.5001227</v>
      </c>
      <c r="E47" s="53">
        <v>8730164.2657754198</v>
      </c>
      <c r="F47" s="53">
        <v>0</v>
      </c>
      <c r="G47" s="53">
        <v>704854.05529996799</v>
      </c>
      <c r="H47" s="53">
        <v>0</v>
      </c>
      <c r="I47" s="53">
        <v>9520028.8532514796</v>
      </c>
      <c r="J47" s="53">
        <v>4757103.4060853701</v>
      </c>
      <c r="K47" s="53">
        <v>842527.00391177903</v>
      </c>
      <c r="L47" s="53">
        <v>932772.08228521096</v>
      </c>
      <c r="M47" s="53">
        <v>6514587.3233632399</v>
      </c>
      <c r="N47" s="53">
        <v>99487111.053176403</v>
      </c>
      <c r="O47" s="53">
        <v>567452.43998388096</v>
      </c>
      <c r="P47" s="53">
        <v>26051318.9931468</v>
      </c>
      <c r="Q47" s="64">
        <v>57813201.8440708</v>
      </c>
      <c r="R47" s="64">
        <v>1059545.4700269599</v>
      </c>
      <c r="S47" s="64">
        <v>257520.81394447701</v>
      </c>
      <c r="T47" s="64">
        <v>1146729.2141690999</v>
      </c>
      <c r="U47" s="64">
        <v>16570383.532107901</v>
      </c>
      <c r="V47" s="64"/>
      <c r="W47" s="64"/>
    </row>
    <row r="48" spans="1:23" ht="16" x14ac:dyDescent="0.2">
      <c r="A48" s="52" t="s">
        <v>66</v>
      </c>
      <c r="B48" s="56" t="s">
        <v>174</v>
      </c>
      <c r="C48" s="64">
        <v>35922125.625345498</v>
      </c>
      <c r="D48" s="81">
        <v>22996713.336340498</v>
      </c>
      <c r="E48" s="53">
        <v>4084057.7865399201</v>
      </c>
      <c r="F48" s="53">
        <v>0</v>
      </c>
      <c r="G48" s="53">
        <v>575218.18079912802</v>
      </c>
      <c r="H48" s="53">
        <v>0</v>
      </c>
      <c r="I48" s="53">
        <v>8034142.0112109398</v>
      </c>
      <c r="J48" s="53">
        <v>5829780.2391451504</v>
      </c>
      <c r="K48" s="53">
        <v>677898.85294814</v>
      </c>
      <c r="L48" s="53">
        <v>797993.70157194196</v>
      </c>
      <c r="M48" s="53">
        <v>6658957.4768642904</v>
      </c>
      <c r="N48" s="53">
        <v>86385476.9304865</v>
      </c>
      <c r="O48" s="53">
        <v>366330.32250672998</v>
      </c>
      <c r="P48" s="53">
        <v>25519517.251104299</v>
      </c>
      <c r="Q48" s="64">
        <v>57512488.135609403</v>
      </c>
      <c r="R48" s="64">
        <v>800585.23655728099</v>
      </c>
      <c r="S48" s="64">
        <v>172219.78220760301</v>
      </c>
      <c r="T48" s="64">
        <v>1113946.00008763</v>
      </c>
      <c r="U48" s="64">
        <v>14794524.0998208</v>
      </c>
      <c r="V48" s="64"/>
      <c r="W48" s="64"/>
    </row>
    <row r="49" spans="1:23" ht="16" x14ac:dyDescent="0.2">
      <c r="A49" s="52" t="s">
        <v>67</v>
      </c>
      <c r="B49" s="56" t="s">
        <v>174</v>
      </c>
      <c r="C49" s="64">
        <v>48586524.220381998</v>
      </c>
      <c r="D49" s="81">
        <v>28184082.5466947</v>
      </c>
      <c r="E49" s="53">
        <v>5431992.1338069504</v>
      </c>
      <c r="F49" s="53">
        <v>0</v>
      </c>
      <c r="G49" s="53">
        <v>642789.43376128504</v>
      </c>
      <c r="H49" s="53">
        <v>0</v>
      </c>
      <c r="I49" s="53">
        <v>8802698.6832430493</v>
      </c>
      <c r="J49" s="53">
        <v>4670280.7697905004</v>
      </c>
      <c r="K49" s="53">
        <v>794699.81300575298</v>
      </c>
      <c r="L49" s="53">
        <v>834846.13164884597</v>
      </c>
      <c r="M49" s="53">
        <v>4511513.4443122502</v>
      </c>
      <c r="N49" s="53">
        <v>82546127.941185907</v>
      </c>
      <c r="O49" s="53">
        <v>469999.48219175398</v>
      </c>
      <c r="P49" s="53">
        <v>21848649.701492298</v>
      </c>
      <c r="Q49" s="64">
        <v>51798685.269922704</v>
      </c>
      <c r="R49" s="64">
        <v>808703.54998351203</v>
      </c>
      <c r="S49" s="64">
        <v>195080.11511028299</v>
      </c>
      <c r="T49" s="64">
        <v>1095934.6455540201</v>
      </c>
      <c r="U49" s="64">
        <v>15547619.422243601</v>
      </c>
      <c r="V49" s="64"/>
      <c r="W49" s="64"/>
    </row>
    <row r="50" spans="1:23" x14ac:dyDescent="0.2">
      <c r="A50" s="63" t="s">
        <v>101</v>
      </c>
      <c r="B50" s="62"/>
      <c r="C50" s="64">
        <v>4848454.1988486396</v>
      </c>
      <c r="D50" s="64">
        <v>23162794.896001499</v>
      </c>
      <c r="E50" s="64">
        <v>54318.260781786899</v>
      </c>
      <c r="F50" s="64">
        <v>10062168.1294904</v>
      </c>
      <c r="G50" s="64">
        <v>110571155.943757</v>
      </c>
      <c r="H50" s="64">
        <v>578879.85298365494</v>
      </c>
      <c r="I50" s="53">
        <v>0</v>
      </c>
      <c r="J50" s="64">
        <v>7623595.0855906</v>
      </c>
      <c r="K50" s="64">
        <v>248769.384088383</v>
      </c>
      <c r="L50" s="64">
        <v>4213004.7799907997</v>
      </c>
      <c r="M50" s="64">
        <v>8023672.9587858999</v>
      </c>
      <c r="N50" s="64">
        <v>120320450.77139901</v>
      </c>
      <c r="O50" s="64">
        <v>0</v>
      </c>
      <c r="P50" s="64">
        <v>2342486.2465502601</v>
      </c>
      <c r="Q50" s="64">
        <v>19225311.576235101</v>
      </c>
      <c r="R50" s="64">
        <v>0</v>
      </c>
      <c r="S50" s="64">
        <v>0</v>
      </c>
      <c r="T50" s="64">
        <v>0</v>
      </c>
      <c r="U50" s="64">
        <v>190312549.31485501</v>
      </c>
    </row>
    <row r="51" spans="1:23" x14ac:dyDescent="0.2">
      <c r="A51" s="63" t="s">
        <v>102</v>
      </c>
      <c r="B51" s="62"/>
      <c r="C51" s="64">
        <v>83270.286966709798</v>
      </c>
      <c r="D51" s="64">
        <v>14980663.1128927</v>
      </c>
      <c r="E51" s="64">
        <v>11466.633021907401</v>
      </c>
      <c r="F51" s="64">
        <v>4325380.37194617</v>
      </c>
      <c r="G51" s="64">
        <v>43465272.114927702</v>
      </c>
      <c r="H51" s="64">
        <v>256241.95305298199</v>
      </c>
      <c r="I51" s="53">
        <v>0</v>
      </c>
      <c r="J51" s="64">
        <v>3103684.5075653498</v>
      </c>
      <c r="K51" s="64">
        <v>33553.690955620499</v>
      </c>
      <c r="L51" s="64">
        <v>1780536.86297741</v>
      </c>
      <c r="M51" s="64">
        <v>3277639.9997419701</v>
      </c>
      <c r="N51" s="64">
        <v>50040824.217438102</v>
      </c>
      <c r="O51" s="64">
        <v>0</v>
      </c>
      <c r="P51" s="64">
        <v>952273.43261900195</v>
      </c>
      <c r="Q51" s="64">
        <v>7360216.9541136604</v>
      </c>
      <c r="R51" s="64">
        <v>0</v>
      </c>
      <c r="S51" s="64">
        <v>0</v>
      </c>
      <c r="T51" s="64">
        <v>0</v>
      </c>
      <c r="U51" s="64">
        <v>82101455.615127102</v>
      </c>
    </row>
    <row r="52" spans="1:23" x14ac:dyDescent="0.2">
      <c r="A52" s="63" t="s">
        <v>103</v>
      </c>
      <c r="B52" s="62"/>
      <c r="C52" s="64">
        <v>5014859.8848099802</v>
      </c>
      <c r="D52" s="64">
        <v>4641429.7463058801</v>
      </c>
      <c r="E52" s="64">
        <v>0</v>
      </c>
      <c r="F52" s="64">
        <v>1845243.55182283</v>
      </c>
      <c r="G52" s="64">
        <v>16154460.461824499</v>
      </c>
      <c r="H52" s="64">
        <v>112996.70337387</v>
      </c>
      <c r="I52" s="53">
        <v>0</v>
      </c>
      <c r="J52" s="64">
        <v>8651.9449637165308</v>
      </c>
      <c r="K52" s="64">
        <v>10149.1067027307</v>
      </c>
      <c r="L52" s="64">
        <v>719251.55848373706</v>
      </c>
      <c r="M52" s="64">
        <v>1244683.87478836</v>
      </c>
      <c r="N52" s="64">
        <v>18315503.365277398</v>
      </c>
      <c r="O52" s="64">
        <v>0</v>
      </c>
      <c r="P52" s="64">
        <v>372243.32248649199</v>
      </c>
      <c r="Q52" s="64">
        <v>2709344.1717232699</v>
      </c>
      <c r="R52" s="64">
        <v>0</v>
      </c>
      <c r="S52" s="64">
        <v>0</v>
      </c>
      <c r="T52" s="64">
        <v>0</v>
      </c>
      <c r="U52" s="64">
        <v>24842956.2583589</v>
      </c>
    </row>
    <row r="53" spans="1:23" x14ac:dyDescent="0.2">
      <c r="A53" s="63" t="s">
        <v>104</v>
      </c>
      <c r="B53" s="62"/>
      <c r="C53" s="64">
        <v>4185416.1989947101</v>
      </c>
      <c r="D53" s="64">
        <v>5315048.8853398804</v>
      </c>
      <c r="E53" s="64">
        <v>0</v>
      </c>
      <c r="F53" s="64">
        <v>700023.00623218005</v>
      </c>
      <c r="G53" s="64">
        <v>5616541.9725838602</v>
      </c>
      <c r="H53" s="64">
        <v>52742.859071071398</v>
      </c>
      <c r="I53" s="53">
        <v>0</v>
      </c>
      <c r="J53" s="64">
        <v>6076.0088942677003</v>
      </c>
      <c r="K53" s="64">
        <v>0</v>
      </c>
      <c r="L53" s="64">
        <v>257169.83185596799</v>
      </c>
      <c r="M53" s="64">
        <v>438364.30192204099</v>
      </c>
      <c r="N53" s="64">
        <v>6485863.4648048496</v>
      </c>
      <c r="O53" s="64">
        <v>0</v>
      </c>
      <c r="P53" s="64">
        <v>11395.9220190824</v>
      </c>
      <c r="Q53" s="64">
        <v>1004754.53217021</v>
      </c>
      <c r="R53" s="64">
        <v>0</v>
      </c>
      <c r="S53" s="64">
        <v>0</v>
      </c>
      <c r="T53" s="64">
        <v>0</v>
      </c>
      <c r="U53" s="64">
        <v>7506536.6186849996</v>
      </c>
    </row>
    <row r="54" spans="1:23" x14ac:dyDescent="0.2">
      <c r="A54" s="63" t="s">
        <v>105</v>
      </c>
      <c r="B54" s="62"/>
      <c r="C54" s="64">
        <v>4250095.3698490104</v>
      </c>
      <c r="D54" s="64">
        <v>2634723.03657183</v>
      </c>
      <c r="E54" s="64">
        <v>0</v>
      </c>
      <c r="F54" s="64">
        <v>258907.35636131701</v>
      </c>
      <c r="G54" s="64">
        <v>2235946.0848482498</v>
      </c>
      <c r="H54" s="64">
        <v>34691.932713417002</v>
      </c>
      <c r="I54" s="53">
        <v>0</v>
      </c>
      <c r="J54" s="64">
        <v>3625.47583037188</v>
      </c>
      <c r="K54" s="64">
        <v>0</v>
      </c>
      <c r="L54" s="64">
        <v>98863.4150828454</v>
      </c>
      <c r="M54" s="64">
        <v>7938.7111493564498</v>
      </c>
      <c r="N54" s="64">
        <v>2577287.0212299898</v>
      </c>
      <c r="O54" s="64">
        <v>0</v>
      </c>
      <c r="P54" s="64">
        <v>43344.265442591401</v>
      </c>
      <c r="Q54" s="64">
        <v>401645.95576535701</v>
      </c>
      <c r="R54" s="64">
        <v>0</v>
      </c>
      <c r="S54" s="64">
        <v>0</v>
      </c>
      <c r="T54" s="64">
        <v>0</v>
      </c>
      <c r="U54" s="64">
        <v>1958074.1344059601</v>
      </c>
    </row>
    <row r="55" spans="1:23" x14ac:dyDescent="0.2">
      <c r="A55" s="63" t="s">
        <v>106</v>
      </c>
      <c r="B55" s="62"/>
      <c r="C55" s="64">
        <v>4355351.8319573402</v>
      </c>
      <c r="D55" s="64">
        <v>4658263.2775655901</v>
      </c>
      <c r="E55" s="64">
        <v>0</v>
      </c>
      <c r="F55" s="64">
        <v>102852.881268828</v>
      </c>
      <c r="G55" s="64">
        <v>853249.36152144196</v>
      </c>
      <c r="H55" s="64">
        <v>36479.059058537401</v>
      </c>
      <c r="I55" s="53">
        <v>0</v>
      </c>
      <c r="J55" s="64">
        <v>8328.0448271811802</v>
      </c>
      <c r="K55" s="64">
        <v>107736.651542511</v>
      </c>
      <c r="L55" s="64">
        <v>38392.565359994602</v>
      </c>
      <c r="M55" s="64">
        <v>27968.749774165299</v>
      </c>
      <c r="N55" s="64">
        <v>1007248.0871183299</v>
      </c>
      <c r="O55" s="64">
        <v>0</v>
      </c>
      <c r="P55" s="64">
        <v>14191.524087268701</v>
      </c>
      <c r="Q55" s="64">
        <v>193077.05351783801</v>
      </c>
      <c r="R55" s="64">
        <v>0</v>
      </c>
      <c r="S55" s="64">
        <v>0</v>
      </c>
      <c r="T55" s="64">
        <v>0</v>
      </c>
      <c r="U55" s="64">
        <v>1013129.28384385</v>
      </c>
    </row>
    <row r="56" spans="1:23" x14ac:dyDescent="0.2">
      <c r="A56" s="63" t="s">
        <v>107</v>
      </c>
      <c r="B56" s="62"/>
      <c r="C56" s="64">
        <v>4442793.58019171</v>
      </c>
      <c r="D56" s="64">
        <v>3319396.8913230598</v>
      </c>
      <c r="E56" s="64">
        <v>0</v>
      </c>
      <c r="F56" s="64">
        <v>33324.087755856497</v>
      </c>
      <c r="G56" s="64">
        <v>322991.19352844497</v>
      </c>
      <c r="H56" s="64">
        <v>8545.3001030464402</v>
      </c>
      <c r="I56" s="53">
        <v>0</v>
      </c>
      <c r="J56" s="64">
        <v>7664.7551294683699</v>
      </c>
      <c r="K56" s="64">
        <v>0</v>
      </c>
      <c r="L56" s="64">
        <v>12141.5059164786</v>
      </c>
      <c r="M56" s="64">
        <v>21105.221296185598</v>
      </c>
      <c r="N56" s="64">
        <v>379917.791217377</v>
      </c>
      <c r="O56" s="64">
        <v>0</v>
      </c>
      <c r="P56" s="64">
        <v>2689.99852769893</v>
      </c>
      <c r="Q56" s="64">
        <v>70977.886720477996</v>
      </c>
      <c r="R56" s="64">
        <v>0</v>
      </c>
      <c r="S56" s="64">
        <v>0</v>
      </c>
      <c r="T56" s="64">
        <v>0</v>
      </c>
      <c r="U56" s="64">
        <v>207597.16730308099</v>
      </c>
    </row>
    <row r="57" spans="1:23" x14ac:dyDescent="0.2">
      <c r="A57" s="63" t="s">
        <v>108</v>
      </c>
      <c r="B57" s="62"/>
      <c r="C57" s="64">
        <v>4906380.6789628305</v>
      </c>
      <c r="D57" s="64">
        <v>1578645.8298855601</v>
      </c>
      <c r="E57" s="64">
        <v>0</v>
      </c>
      <c r="F57" s="64">
        <v>7301.53747416028</v>
      </c>
      <c r="G57" s="64">
        <v>123993.60327613501</v>
      </c>
      <c r="H57" s="64">
        <v>2201.2811518900498</v>
      </c>
      <c r="I57" s="53">
        <v>0</v>
      </c>
      <c r="J57" s="64">
        <v>3414.8802814545702</v>
      </c>
      <c r="K57" s="64">
        <v>0</v>
      </c>
      <c r="L57" s="64">
        <v>7950.7676401504896</v>
      </c>
      <c r="M57" s="64">
        <v>3787.70316165753</v>
      </c>
      <c r="N57" s="64">
        <v>150780.737295256</v>
      </c>
      <c r="O57" s="64">
        <v>0</v>
      </c>
      <c r="P57" s="64">
        <v>534.06651486149599</v>
      </c>
      <c r="Q57" s="64">
        <v>32858.660801024103</v>
      </c>
      <c r="R57" s="64">
        <v>0</v>
      </c>
      <c r="S57" s="64">
        <v>0</v>
      </c>
      <c r="T57" s="64">
        <v>0</v>
      </c>
      <c r="U57" s="64">
        <v>13936.879647821899</v>
      </c>
    </row>
    <row r="58" spans="1:23" x14ac:dyDescent="0.2">
      <c r="A58" s="63" t="s">
        <v>112</v>
      </c>
      <c r="B58" s="62"/>
      <c r="C58" s="64">
        <v>4129617.7291584299</v>
      </c>
      <c r="D58" s="64">
        <v>2525230.9656539299</v>
      </c>
      <c r="E58" s="64">
        <v>28571048.767350301</v>
      </c>
      <c r="F58" s="64">
        <v>549240.15005505504</v>
      </c>
      <c r="G58" s="64">
        <v>0</v>
      </c>
      <c r="H58" s="64">
        <v>119690094.94887599</v>
      </c>
      <c r="I58" s="53">
        <v>0</v>
      </c>
      <c r="J58" s="64">
        <v>3380.23153186012</v>
      </c>
      <c r="K58" s="64">
        <v>18036.0864512361</v>
      </c>
      <c r="L58" s="64">
        <v>0</v>
      </c>
      <c r="M58" s="64">
        <v>5347543.3238470796</v>
      </c>
      <c r="N58" s="64">
        <v>35900.860938785198</v>
      </c>
      <c r="O58" s="64">
        <v>6644094.8050979702</v>
      </c>
      <c r="P58" s="64">
        <v>50583365.1093335</v>
      </c>
      <c r="Q58" s="64">
        <v>17806.192539189498</v>
      </c>
      <c r="R58" s="64">
        <v>0</v>
      </c>
      <c r="S58" s="64">
        <v>0</v>
      </c>
      <c r="T58" s="64">
        <v>0</v>
      </c>
      <c r="U58" s="64">
        <v>13538.1248176139</v>
      </c>
    </row>
    <row r="59" spans="1:23" x14ac:dyDescent="0.2">
      <c r="A59" s="63" t="s">
        <v>113</v>
      </c>
      <c r="B59" s="62"/>
      <c r="C59" s="64">
        <v>21243.9605284758</v>
      </c>
      <c r="D59" s="64">
        <v>3022350.8578698998</v>
      </c>
      <c r="E59" s="64">
        <v>11500350.129518</v>
      </c>
      <c r="F59" s="64">
        <v>212109.08254795801</v>
      </c>
      <c r="G59" s="64">
        <v>0</v>
      </c>
      <c r="H59" s="64">
        <v>44822507.855595</v>
      </c>
      <c r="I59" s="53">
        <v>0</v>
      </c>
      <c r="J59" s="64">
        <v>4720.8464863549098</v>
      </c>
      <c r="K59" s="64">
        <v>4275.1327868624203</v>
      </c>
      <c r="L59" s="64">
        <v>1482.6400655463799</v>
      </c>
      <c r="M59" s="64">
        <v>2071927.5346949501</v>
      </c>
      <c r="N59" s="64">
        <v>15837.615210545</v>
      </c>
      <c r="O59" s="64">
        <v>2060724.1324644501</v>
      </c>
      <c r="P59" s="64">
        <v>18015933.4378503</v>
      </c>
      <c r="Q59" s="64">
        <v>23157.0234874417</v>
      </c>
      <c r="R59" s="64">
        <v>0</v>
      </c>
      <c r="S59" s="64">
        <v>0</v>
      </c>
      <c r="T59" s="64">
        <v>0</v>
      </c>
      <c r="U59" s="64">
        <v>60601.588326819001</v>
      </c>
    </row>
    <row r="60" spans="1:23" x14ac:dyDescent="0.2">
      <c r="A60" s="63" t="s">
        <v>114</v>
      </c>
      <c r="B60" s="62"/>
      <c r="C60" s="64">
        <v>4860702.3715016805</v>
      </c>
      <c r="D60" s="64">
        <v>1896230.08566689</v>
      </c>
      <c r="E60" s="64">
        <v>4758826.0744860796</v>
      </c>
      <c r="F60" s="64">
        <v>75920.661833144593</v>
      </c>
      <c r="G60" s="64">
        <v>0</v>
      </c>
      <c r="H60" s="64">
        <v>17420660.6806692</v>
      </c>
      <c r="I60" s="53">
        <v>0</v>
      </c>
      <c r="J60" s="64">
        <v>13278.1621903289</v>
      </c>
      <c r="K60" s="64">
        <v>0</v>
      </c>
      <c r="L60" s="64">
        <v>3393.8559211720299</v>
      </c>
      <c r="M60" s="64">
        <v>757858.61905479396</v>
      </c>
      <c r="N60" s="64">
        <v>16946.519007511</v>
      </c>
      <c r="O60" s="64">
        <v>267015.86602061603</v>
      </c>
      <c r="P60" s="64">
        <v>6269493.0846112398</v>
      </c>
      <c r="Q60" s="64">
        <v>33232.455431828697</v>
      </c>
      <c r="R60" s="64">
        <v>0</v>
      </c>
      <c r="S60" s="64">
        <v>0</v>
      </c>
      <c r="T60" s="64">
        <v>0</v>
      </c>
      <c r="U60" s="64">
        <v>60734.177516847798</v>
      </c>
    </row>
    <row r="61" spans="1:23" x14ac:dyDescent="0.2">
      <c r="A61" s="63" t="s">
        <v>115</v>
      </c>
      <c r="B61" s="62"/>
      <c r="C61" s="64">
        <v>34525.186665144</v>
      </c>
      <c r="D61" s="64">
        <v>1857072.84619577</v>
      </c>
      <c r="E61" s="64">
        <v>1718547.8530471399</v>
      </c>
      <c r="F61" s="64">
        <v>25105.685983243598</v>
      </c>
      <c r="G61" s="64">
        <v>0</v>
      </c>
      <c r="H61" s="64">
        <v>6766744.2686580904</v>
      </c>
      <c r="I61" s="53">
        <v>0</v>
      </c>
      <c r="J61" s="64">
        <v>5250.3632413441801</v>
      </c>
      <c r="K61" s="64">
        <v>3222.7718529486801</v>
      </c>
      <c r="L61" s="64">
        <v>1420.4593931071399</v>
      </c>
      <c r="M61" s="64">
        <v>261409.88580953001</v>
      </c>
      <c r="N61" s="64">
        <v>37105.830685734698</v>
      </c>
      <c r="O61" s="64">
        <v>73260.218238835296</v>
      </c>
      <c r="P61" s="64">
        <v>2426024.0213434799</v>
      </c>
      <c r="Q61" s="64">
        <v>28694.8430384985</v>
      </c>
      <c r="R61" s="64">
        <v>0</v>
      </c>
      <c r="S61" s="64">
        <v>0</v>
      </c>
      <c r="T61" s="64">
        <v>0</v>
      </c>
      <c r="U61" s="64">
        <v>75642.916988033205</v>
      </c>
    </row>
    <row r="62" spans="1:23" x14ac:dyDescent="0.2">
      <c r="A62" s="63" t="s">
        <v>116</v>
      </c>
      <c r="B62" s="62"/>
      <c r="C62" s="64">
        <v>4217231.0770324301</v>
      </c>
      <c r="D62" s="64">
        <v>2184287.4214836298</v>
      </c>
      <c r="E62" s="64">
        <v>821318.783131629</v>
      </c>
      <c r="F62" s="64">
        <v>5554.6550749506296</v>
      </c>
      <c r="G62" s="64">
        <v>0</v>
      </c>
      <c r="H62" s="64">
        <v>3125111.3946385402</v>
      </c>
      <c r="I62" s="53">
        <v>0</v>
      </c>
      <c r="J62" s="64">
        <v>3855.1492917103301</v>
      </c>
      <c r="K62" s="64">
        <v>0</v>
      </c>
      <c r="L62" s="64">
        <v>8932.8332533977991</v>
      </c>
      <c r="M62" s="64">
        <v>115598.22800216801</v>
      </c>
      <c r="N62" s="64">
        <v>36599.200412757898</v>
      </c>
      <c r="O62" s="64">
        <v>5543.1488019811004</v>
      </c>
      <c r="P62" s="64">
        <v>1038439.77164102</v>
      </c>
      <c r="Q62" s="64">
        <v>50107.8577430941</v>
      </c>
      <c r="R62" s="64">
        <v>0</v>
      </c>
      <c r="S62" s="64">
        <v>0</v>
      </c>
      <c r="T62" s="64">
        <v>0</v>
      </c>
      <c r="U62" s="64">
        <v>139421.32885408201</v>
      </c>
    </row>
    <row r="63" spans="1:23" x14ac:dyDescent="0.2">
      <c r="A63" s="63" t="s">
        <v>117</v>
      </c>
      <c r="B63" s="62"/>
      <c r="C63" s="64">
        <v>4432926.8873435399</v>
      </c>
      <c r="D63" s="64">
        <v>2453419.7722855201</v>
      </c>
      <c r="E63" s="64">
        <v>310485.38250931201</v>
      </c>
      <c r="F63" s="64">
        <v>22131.777064795599</v>
      </c>
      <c r="G63" s="64">
        <v>0</v>
      </c>
      <c r="H63" s="64">
        <v>1110701.2605138901</v>
      </c>
      <c r="I63" s="53">
        <v>0</v>
      </c>
      <c r="J63" s="64">
        <v>3923.3773474168502</v>
      </c>
      <c r="K63" s="64">
        <v>0</v>
      </c>
      <c r="L63" s="64">
        <v>9660.8676216567092</v>
      </c>
      <c r="M63" s="64">
        <v>6460.1438876189204</v>
      </c>
      <c r="N63" s="64">
        <v>35139.0547525722</v>
      </c>
      <c r="O63" s="64">
        <v>0</v>
      </c>
      <c r="P63" s="64">
        <v>405037.619952521</v>
      </c>
      <c r="Q63" s="64">
        <v>112720.16942383601</v>
      </c>
      <c r="R63" s="64">
        <v>0</v>
      </c>
      <c r="S63" s="64">
        <v>0</v>
      </c>
      <c r="T63" s="64">
        <v>0</v>
      </c>
      <c r="U63" s="64">
        <v>202725.64191381601</v>
      </c>
    </row>
    <row r="64" spans="1:23" x14ac:dyDescent="0.2">
      <c r="A64" s="63" t="s">
        <v>118</v>
      </c>
      <c r="B64" s="62"/>
      <c r="C64" s="64">
        <v>6088900.5499054296</v>
      </c>
      <c r="D64" s="64">
        <v>2264289.73077793</v>
      </c>
      <c r="E64" s="64">
        <v>86922.817393618403</v>
      </c>
      <c r="F64" s="64">
        <v>3842.1224991469398</v>
      </c>
      <c r="G64" s="64">
        <v>0</v>
      </c>
      <c r="H64" s="64">
        <v>454347.19641466398</v>
      </c>
      <c r="I64" s="53">
        <v>0</v>
      </c>
      <c r="J64" s="64">
        <v>3849.7275128456799</v>
      </c>
      <c r="K64" s="64">
        <v>0</v>
      </c>
      <c r="L64" s="64">
        <v>13517.932929645</v>
      </c>
      <c r="M64" s="64">
        <v>4106.9464076279501</v>
      </c>
      <c r="N64" s="64">
        <v>38813.1252165232</v>
      </c>
      <c r="O64" s="64">
        <v>0</v>
      </c>
      <c r="P64" s="64">
        <v>199896.11994365399</v>
      </c>
      <c r="Q64" s="64">
        <v>197940.34876516901</v>
      </c>
      <c r="R64" s="64">
        <v>0</v>
      </c>
      <c r="S64" s="64">
        <v>0</v>
      </c>
      <c r="T64" s="64">
        <v>0</v>
      </c>
      <c r="U64" s="64">
        <v>429640.62004185398</v>
      </c>
    </row>
    <row r="65" spans="1:21" x14ac:dyDescent="0.2">
      <c r="A65" s="63" t="s">
        <v>119</v>
      </c>
      <c r="B65" s="62"/>
      <c r="C65" s="64">
        <v>3861040.26074766</v>
      </c>
      <c r="D65" s="64">
        <v>2478998.4144108901</v>
      </c>
      <c r="E65" s="64">
        <v>24119.628818625399</v>
      </c>
      <c r="F65" s="64">
        <v>0</v>
      </c>
      <c r="G65" s="64">
        <v>0</v>
      </c>
      <c r="H65" s="64">
        <v>164566.428940096</v>
      </c>
      <c r="I65" s="53">
        <v>0</v>
      </c>
      <c r="J65" s="64">
        <v>8499.1865888734792</v>
      </c>
      <c r="K65" s="64">
        <v>0</v>
      </c>
      <c r="L65" s="64">
        <v>22557.781944646598</v>
      </c>
      <c r="M65" s="64">
        <v>3750.7411012672901</v>
      </c>
      <c r="N65" s="64">
        <v>69228.236970752405</v>
      </c>
      <c r="O65" s="64">
        <v>0</v>
      </c>
      <c r="P65" s="64">
        <v>177475.81491063201</v>
      </c>
      <c r="Q65" s="64">
        <v>391690.43145916698</v>
      </c>
      <c r="R65" s="64">
        <v>0</v>
      </c>
      <c r="S65" s="64">
        <v>0</v>
      </c>
      <c r="T65" s="64">
        <v>0</v>
      </c>
      <c r="U65" s="64">
        <v>889496.29475879099</v>
      </c>
    </row>
    <row r="66" spans="1:21" x14ac:dyDescent="0.2">
      <c r="A66" s="63" t="s">
        <v>120</v>
      </c>
      <c r="B66" s="62"/>
      <c r="C66" s="64">
        <v>4485031.8571237102</v>
      </c>
      <c r="D66" s="64">
        <v>1277557.94582773</v>
      </c>
      <c r="E66" s="64">
        <v>144663.377615109</v>
      </c>
      <c r="F66" s="64">
        <v>199032299.90395901</v>
      </c>
      <c r="G66" s="64">
        <v>25724.786297050301</v>
      </c>
      <c r="H66" s="64">
        <v>29987630.250921901</v>
      </c>
      <c r="I66" s="53">
        <v>0</v>
      </c>
      <c r="J66" s="64">
        <v>4202.7166960566501</v>
      </c>
      <c r="K66" s="64">
        <v>97737040.465929106</v>
      </c>
      <c r="L66" s="53">
        <v>0</v>
      </c>
      <c r="M66" s="64">
        <v>202440771.37304401</v>
      </c>
      <c r="N66" s="64">
        <v>0</v>
      </c>
      <c r="O66" s="64">
        <v>152726.015399745</v>
      </c>
      <c r="P66" s="64">
        <v>9920.1921561781401</v>
      </c>
      <c r="Q66" s="64">
        <v>1037.6473647323801</v>
      </c>
      <c r="R66" s="64">
        <v>0</v>
      </c>
      <c r="S66" s="64">
        <v>0</v>
      </c>
      <c r="T66" s="64">
        <v>0</v>
      </c>
      <c r="U66" s="64">
        <v>3154.29094351908</v>
      </c>
    </row>
    <row r="67" spans="1:21" x14ac:dyDescent="0.2">
      <c r="A67" s="63" t="s">
        <v>121</v>
      </c>
      <c r="B67" s="62"/>
      <c r="C67" s="64">
        <v>4040837.8523842399</v>
      </c>
      <c r="D67" s="64">
        <v>2226553.1725035901</v>
      </c>
      <c r="E67" s="64">
        <v>39854.425290053201</v>
      </c>
      <c r="F67" s="64">
        <v>95540660.830607697</v>
      </c>
      <c r="G67" s="64">
        <v>6872.5945897789497</v>
      </c>
      <c r="H67" s="64">
        <v>14192313.402518401</v>
      </c>
      <c r="I67" s="53">
        <v>0</v>
      </c>
      <c r="J67" s="64">
        <v>4352.7406651506799</v>
      </c>
      <c r="K67" s="64">
        <v>37796478.049966998</v>
      </c>
      <c r="L67" s="53">
        <v>0</v>
      </c>
      <c r="M67" s="64">
        <v>101374660.251012</v>
      </c>
      <c r="N67" s="64">
        <v>12608.357472510599</v>
      </c>
      <c r="O67" s="64">
        <v>44439.3124875785</v>
      </c>
      <c r="P67" s="64">
        <v>16638.7884746485</v>
      </c>
      <c r="Q67" s="64">
        <v>1952.0950262785</v>
      </c>
      <c r="R67" s="64">
        <v>0</v>
      </c>
      <c r="S67" s="64">
        <v>0</v>
      </c>
      <c r="T67" s="64">
        <v>0</v>
      </c>
      <c r="U67" s="64">
        <v>2709.6923624246301</v>
      </c>
    </row>
    <row r="68" spans="1:21" x14ac:dyDescent="0.2">
      <c r="A68" s="63" t="s">
        <v>122</v>
      </c>
      <c r="B68" s="62"/>
      <c r="C68" s="64">
        <v>4104796.13923987</v>
      </c>
      <c r="D68" s="64">
        <v>1284201.9982419701</v>
      </c>
      <c r="E68" s="64">
        <v>3240.3205085690302</v>
      </c>
      <c r="F68" s="64">
        <v>38342591.872291699</v>
      </c>
      <c r="G68" s="53">
        <v>0</v>
      </c>
      <c r="H68" s="64">
        <v>5593188.4880280001</v>
      </c>
      <c r="I68" s="53">
        <v>0</v>
      </c>
      <c r="J68" s="64">
        <v>8153.3908896834</v>
      </c>
      <c r="K68" s="64">
        <v>13849365.203115899</v>
      </c>
      <c r="L68" s="53">
        <v>0</v>
      </c>
      <c r="M68" s="64">
        <v>44612156.954010002</v>
      </c>
      <c r="N68" s="64">
        <v>0</v>
      </c>
      <c r="O68" s="64">
        <v>0</v>
      </c>
      <c r="P68" s="64">
        <v>1066.3761082599001</v>
      </c>
      <c r="Q68" s="64">
        <v>709.90023395438595</v>
      </c>
      <c r="R68" s="64">
        <v>0</v>
      </c>
      <c r="S68" s="64">
        <v>0</v>
      </c>
      <c r="T68" s="64">
        <v>0</v>
      </c>
      <c r="U68" s="64">
        <v>11852.006801707101</v>
      </c>
    </row>
    <row r="69" spans="1:21" x14ac:dyDescent="0.2">
      <c r="A69" s="63" t="s">
        <v>123</v>
      </c>
      <c r="B69" s="62"/>
      <c r="C69" s="64">
        <v>3990668.1571294102</v>
      </c>
      <c r="D69" s="64">
        <v>3208538.2884983099</v>
      </c>
      <c r="E69" s="64">
        <v>3068.22432439555</v>
      </c>
      <c r="F69" s="64">
        <v>15837757.1059983</v>
      </c>
      <c r="G69" s="53">
        <v>0</v>
      </c>
      <c r="H69" s="64">
        <v>2234926.75527268</v>
      </c>
      <c r="I69" s="53">
        <v>0</v>
      </c>
      <c r="J69" s="64">
        <v>17442.715649883499</v>
      </c>
      <c r="K69" s="64">
        <v>5392721.8642532397</v>
      </c>
      <c r="L69" s="53">
        <v>0</v>
      </c>
      <c r="M69" s="64">
        <v>16771842.6959829</v>
      </c>
      <c r="N69" s="64">
        <v>17809.812966658101</v>
      </c>
      <c r="O69" s="64">
        <v>0</v>
      </c>
      <c r="P69" s="64">
        <v>85017.5708552828</v>
      </c>
      <c r="Q69" s="64">
        <v>429.89936474771201</v>
      </c>
      <c r="R69" s="64">
        <v>0</v>
      </c>
      <c r="S69" s="64">
        <v>0</v>
      </c>
      <c r="T69" s="64">
        <v>0</v>
      </c>
      <c r="U69" s="64">
        <v>20444.401414152198</v>
      </c>
    </row>
    <row r="70" spans="1:21" x14ac:dyDescent="0.2">
      <c r="A70" s="63" t="s">
        <v>124</v>
      </c>
      <c r="B70" s="62"/>
      <c r="C70" s="64">
        <v>5481738.09377129</v>
      </c>
      <c r="D70" s="64">
        <v>1614685.7771545399</v>
      </c>
      <c r="E70" s="64">
        <v>0</v>
      </c>
      <c r="F70" s="64">
        <v>5851139.9404660296</v>
      </c>
      <c r="G70" s="53">
        <v>0</v>
      </c>
      <c r="H70" s="64">
        <v>866200.10124313703</v>
      </c>
      <c r="I70" s="53">
        <v>0</v>
      </c>
      <c r="J70" s="64">
        <v>5371.6730613166701</v>
      </c>
      <c r="K70" s="64">
        <v>2047773.4268372201</v>
      </c>
      <c r="L70" s="53">
        <v>0</v>
      </c>
      <c r="M70" s="64">
        <v>6480378.8379774299</v>
      </c>
      <c r="N70" s="64">
        <v>10981.9576185759</v>
      </c>
      <c r="O70" s="64">
        <v>4522.1239762774603</v>
      </c>
      <c r="P70" s="64">
        <v>1609.44981857988</v>
      </c>
      <c r="Q70" s="64">
        <v>1043.93742002561</v>
      </c>
      <c r="R70" s="64">
        <v>0</v>
      </c>
      <c r="S70" s="64">
        <v>0</v>
      </c>
      <c r="T70" s="64">
        <v>0</v>
      </c>
      <c r="U70" s="64">
        <v>6587.0439113388902</v>
      </c>
    </row>
    <row r="71" spans="1:21" x14ac:dyDescent="0.2">
      <c r="A71" s="63" t="s">
        <v>125</v>
      </c>
      <c r="B71" s="62"/>
      <c r="C71" s="64">
        <v>4149203.5840900601</v>
      </c>
      <c r="D71" s="64">
        <v>1654980.94404841</v>
      </c>
      <c r="E71" s="64">
        <v>0</v>
      </c>
      <c r="F71" s="64">
        <v>2392651.3417074098</v>
      </c>
      <c r="G71" s="53">
        <v>0</v>
      </c>
      <c r="H71" s="64">
        <v>352824.47778596397</v>
      </c>
      <c r="I71" s="53">
        <v>0</v>
      </c>
      <c r="J71" s="64">
        <v>7605.6428318940998</v>
      </c>
      <c r="K71" s="64">
        <v>829172.99167373299</v>
      </c>
      <c r="L71" s="53">
        <v>0</v>
      </c>
      <c r="M71" s="64">
        <v>2619497.1919531999</v>
      </c>
      <c r="N71" s="64">
        <v>0</v>
      </c>
      <c r="O71" s="64">
        <v>8682.8440329741206</v>
      </c>
      <c r="P71" s="64">
        <v>2539.7553406029701</v>
      </c>
      <c r="Q71" s="64">
        <v>4368.2182781198999</v>
      </c>
      <c r="R71" s="64">
        <v>0</v>
      </c>
      <c r="S71" s="64">
        <v>0</v>
      </c>
      <c r="T71" s="64">
        <v>0</v>
      </c>
      <c r="U71" s="64">
        <v>15893.389871273201</v>
      </c>
    </row>
    <row r="72" spans="1:21" x14ac:dyDescent="0.2">
      <c r="A72" s="63" t="s">
        <v>126</v>
      </c>
      <c r="B72" s="62"/>
      <c r="C72" s="64">
        <v>3885818.9555389299</v>
      </c>
      <c r="D72" s="64">
        <v>3660277.9587928602</v>
      </c>
      <c r="E72" s="64">
        <v>3111.3938936633999</v>
      </c>
      <c r="F72" s="64">
        <v>1036053.10149591</v>
      </c>
      <c r="G72" s="53">
        <v>0</v>
      </c>
      <c r="H72" s="64">
        <v>186402.56132838299</v>
      </c>
      <c r="I72" s="53">
        <v>0</v>
      </c>
      <c r="J72" s="64">
        <v>10076.533999589499</v>
      </c>
      <c r="K72" s="64">
        <v>350678.01256098901</v>
      </c>
      <c r="L72" s="53">
        <v>0</v>
      </c>
      <c r="M72" s="64">
        <v>1097809.6182416701</v>
      </c>
      <c r="N72" s="64">
        <v>21880.600029908801</v>
      </c>
      <c r="O72" s="64">
        <v>61662.878449771699</v>
      </c>
      <c r="P72" s="64">
        <v>5882.6058604919499</v>
      </c>
      <c r="Q72" s="64">
        <v>5887.1832237335002</v>
      </c>
      <c r="R72" s="64">
        <v>0</v>
      </c>
      <c r="S72" s="64">
        <v>0</v>
      </c>
      <c r="T72" s="64">
        <v>0</v>
      </c>
      <c r="U72" s="64">
        <v>63051.937417624198</v>
      </c>
    </row>
    <row r="73" spans="1:21" x14ac:dyDescent="0.2">
      <c r="A73" s="63" t="s">
        <v>127</v>
      </c>
      <c r="B73" s="62"/>
      <c r="C73" s="64">
        <v>4869456.1716471203</v>
      </c>
      <c r="D73" s="64">
        <v>1192152.19979317</v>
      </c>
      <c r="E73" s="64">
        <v>0</v>
      </c>
      <c r="F73" s="64">
        <v>384513.70850452402</v>
      </c>
      <c r="G73" s="53">
        <v>0</v>
      </c>
      <c r="H73" s="64">
        <v>128635.278289651</v>
      </c>
      <c r="I73" s="53">
        <v>0</v>
      </c>
      <c r="J73" s="64">
        <v>6443.4897758319503</v>
      </c>
      <c r="K73" s="64">
        <v>130111.603928583</v>
      </c>
      <c r="L73" s="53">
        <v>0</v>
      </c>
      <c r="M73" s="64">
        <v>493609.63983089302</v>
      </c>
      <c r="N73" s="64">
        <v>0</v>
      </c>
      <c r="O73" s="64">
        <v>110623.984934013</v>
      </c>
      <c r="P73" s="64">
        <v>690906.08771029406</v>
      </c>
      <c r="Q73" s="64">
        <v>4736.8474871390799</v>
      </c>
      <c r="R73" s="64">
        <v>0</v>
      </c>
      <c r="S73" s="64">
        <v>0</v>
      </c>
      <c r="T73" s="64">
        <v>0</v>
      </c>
      <c r="U73" s="64">
        <v>2451.8302937847602</v>
      </c>
    </row>
    <row r="74" spans="1:21" ht="14.25" customHeight="1" x14ac:dyDescent="0.2">
      <c r="A74" s="52" t="s">
        <v>68</v>
      </c>
      <c r="B74" s="57" t="s">
        <v>159</v>
      </c>
      <c r="C74" s="53">
        <v>204201639.08664</v>
      </c>
      <c r="D74" s="53">
        <v>499664326.946854</v>
      </c>
      <c r="E74" s="53">
        <v>3974734.2194124698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64">
        <v>0</v>
      </c>
      <c r="U74" s="53">
        <v>9778.3793814564706</v>
      </c>
    </row>
    <row r="75" spans="1:21" x14ac:dyDescent="0.2">
      <c r="A75" s="52" t="s">
        <v>69</v>
      </c>
      <c r="B75" s="57" t="s">
        <v>159</v>
      </c>
      <c r="C75" s="53">
        <v>214734640.84603399</v>
      </c>
      <c r="D75" s="53">
        <v>581286934.26025796</v>
      </c>
      <c r="E75" s="53">
        <v>4447746.6935854303</v>
      </c>
      <c r="F75" s="53">
        <v>0</v>
      </c>
      <c r="G75" s="53">
        <v>0</v>
      </c>
      <c r="H75" s="53">
        <v>0</v>
      </c>
      <c r="I75" s="53">
        <v>0</v>
      </c>
      <c r="J75" s="53">
        <v>6276.4694328966398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64">
        <v>0</v>
      </c>
      <c r="U75" s="53">
        <v>4059.0446362061298</v>
      </c>
    </row>
    <row r="76" spans="1:21" x14ac:dyDescent="0.2">
      <c r="A76" s="52" t="s">
        <v>70</v>
      </c>
      <c r="B76" s="57" t="s">
        <v>159</v>
      </c>
      <c r="C76" s="53">
        <v>103674435.39576399</v>
      </c>
      <c r="D76" s="53">
        <v>342733537.64142799</v>
      </c>
      <c r="E76" s="53">
        <v>2168142.4467864502</v>
      </c>
      <c r="F76" s="53">
        <v>0</v>
      </c>
      <c r="G76" s="53">
        <v>0</v>
      </c>
      <c r="H76" s="53">
        <v>0</v>
      </c>
      <c r="I76" s="53">
        <v>0</v>
      </c>
      <c r="J76" s="53">
        <v>4504.19605904742</v>
      </c>
      <c r="K76" s="53">
        <v>0</v>
      </c>
      <c r="L76" s="53">
        <v>0</v>
      </c>
      <c r="M76" s="53">
        <v>0</v>
      </c>
      <c r="N76" s="53">
        <v>0</v>
      </c>
      <c r="O76" s="53">
        <v>0</v>
      </c>
      <c r="P76" s="53">
        <v>0</v>
      </c>
      <c r="Q76" s="53">
        <v>0</v>
      </c>
      <c r="R76" s="53">
        <v>0</v>
      </c>
      <c r="S76" s="53">
        <v>0</v>
      </c>
      <c r="T76" s="64">
        <v>0</v>
      </c>
      <c r="U76" s="53">
        <v>17747.674386784998</v>
      </c>
    </row>
    <row r="77" spans="1:21" x14ac:dyDescent="0.2">
      <c r="A77" s="52" t="s">
        <v>71</v>
      </c>
      <c r="B77" s="57" t="s">
        <v>160</v>
      </c>
      <c r="C77" s="53">
        <v>2590849.8004232598</v>
      </c>
      <c r="D77" s="53">
        <v>1080779.47350132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  <c r="N77" s="53">
        <v>0</v>
      </c>
      <c r="O77" s="53">
        <v>0</v>
      </c>
      <c r="P77" s="53">
        <v>0</v>
      </c>
      <c r="Q77" s="53">
        <v>0</v>
      </c>
      <c r="R77" s="53">
        <v>0</v>
      </c>
      <c r="S77" s="53">
        <v>0</v>
      </c>
      <c r="T77" s="64">
        <v>0</v>
      </c>
      <c r="U77" s="53">
        <v>7854.7557192516797</v>
      </c>
    </row>
    <row r="78" spans="1:21" x14ac:dyDescent="0.2">
      <c r="A78" s="52" t="s">
        <v>72</v>
      </c>
      <c r="B78" s="57" t="s">
        <v>160</v>
      </c>
      <c r="C78" s="53">
        <v>2398577.5741173001</v>
      </c>
      <c r="D78" s="53">
        <v>1039782.86615349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7774.0101507406798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64">
        <v>0</v>
      </c>
      <c r="U78" s="53">
        <v>20884.357415926799</v>
      </c>
    </row>
    <row r="79" spans="1:21" x14ac:dyDescent="0.2">
      <c r="A79" s="52" t="s">
        <v>73</v>
      </c>
      <c r="B79" s="57" t="s">
        <v>160</v>
      </c>
      <c r="C79" s="53">
        <v>2519326.8444785201</v>
      </c>
      <c r="D79" s="53">
        <v>859774.42067138897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64">
        <v>0</v>
      </c>
      <c r="U79" s="53">
        <v>5227.9409184548604</v>
      </c>
    </row>
    <row r="80" spans="1:21" x14ac:dyDescent="0.2">
      <c r="A80" s="52" t="s">
        <v>74</v>
      </c>
      <c r="B80" s="57" t="s">
        <v>161</v>
      </c>
      <c r="C80" s="53">
        <v>202740532.28472</v>
      </c>
      <c r="D80" s="53">
        <v>733273.87217140303</v>
      </c>
      <c r="E80" s="53">
        <v>7003631.9744069995</v>
      </c>
      <c r="F80" s="53">
        <v>0</v>
      </c>
      <c r="G80" s="53">
        <v>0</v>
      </c>
      <c r="H80" s="53">
        <v>0</v>
      </c>
      <c r="I80" s="53">
        <v>0</v>
      </c>
      <c r="J80" s="53">
        <v>21207.512383612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64">
        <v>0</v>
      </c>
      <c r="U80" s="53">
        <v>3242.59623119862</v>
      </c>
    </row>
    <row r="81" spans="1:21" x14ac:dyDescent="0.2">
      <c r="A81" s="52" t="s">
        <v>75</v>
      </c>
      <c r="B81" s="57" t="s">
        <v>161</v>
      </c>
      <c r="C81" s="53">
        <v>223360877.17012301</v>
      </c>
      <c r="D81" s="53">
        <v>799873.87869555305</v>
      </c>
      <c r="E81" s="53">
        <v>7278530.42871047</v>
      </c>
      <c r="F81" s="53">
        <v>0</v>
      </c>
      <c r="G81" s="53">
        <v>0</v>
      </c>
      <c r="H81" s="53">
        <v>0</v>
      </c>
      <c r="I81" s="53">
        <v>0</v>
      </c>
      <c r="J81" s="53">
        <v>19775.3345421349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64">
        <v>0</v>
      </c>
      <c r="U81" s="53">
        <v>15727.2036094797</v>
      </c>
    </row>
    <row r="82" spans="1:21" x14ac:dyDescent="0.2">
      <c r="A82" s="52" t="s">
        <v>76</v>
      </c>
      <c r="B82" s="57" t="s">
        <v>161</v>
      </c>
      <c r="C82" s="53">
        <v>252930243.079014</v>
      </c>
      <c r="D82" s="53">
        <v>574352.93482560595</v>
      </c>
      <c r="E82" s="53">
        <v>11774330.740718899</v>
      </c>
      <c r="F82" s="53">
        <v>0</v>
      </c>
      <c r="G82" s="53">
        <v>0</v>
      </c>
      <c r="H82" s="53">
        <v>0</v>
      </c>
      <c r="I82" s="53">
        <v>0</v>
      </c>
      <c r="J82" s="53">
        <v>47674.173651763202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64">
        <v>0</v>
      </c>
      <c r="U82" s="53">
        <v>44926.486130941601</v>
      </c>
    </row>
    <row r="83" spans="1:21" x14ac:dyDescent="0.2">
      <c r="A83" s="52" t="s">
        <v>77</v>
      </c>
      <c r="B83" s="57" t="s">
        <v>162</v>
      </c>
      <c r="C83" s="53">
        <v>88517435.571978301</v>
      </c>
      <c r="D83" s="53">
        <v>1172841700.89171</v>
      </c>
      <c r="E83" s="53">
        <v>42434029.160944402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  <c r="N83" s="53">
        <v>0</v>
      </c>
      <c r="O83" s="53">
        <v>0</v>
      </c>
      <c r="P83" s="53">
        <v>0</v>
      </c>
      <c r="Q83" s="53">
        <v>0</v>
      </c>
      <c r="R83" s="53">
        <v>0</v>
      </c>
      <c r="S83" s="53">
        <v>0</v>
      </c>
      <c r="T83" s="64">
        <v>0</v>
      </c>
      <c r="U83" s="53">
        <v>48944.480256943803</v>
      </c>
    </row>
    <row r="84" spans="1:21" x14ac:dyDescent="0.2">
      <c r="A84" s="52" t="s">
        <v>78</v>
      </c>
      <c r="B84" s="57" t="s">
        <v>162</v>
      </c>
      <c r="C84" s="53">
        <v>77344078.582999706</v>
      </c>
      <c r="D84" s="53">
        <v>723797972.94532597</v>
      </c>
      <c r="E84" s="53">
        <v>32836730.283258699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3">
        <v>0</v>
      </c>
      <c r="T84" s="64">
        <v>0</v>
      </c>
      <c r="U84" s="53">
        <v>6729.4582741713702</v>
      </c>
    </row>
    <row r="85" spans="1:21" x14ac:dyDescent="0.2">
      <c r="A85" s="52" t="s">
        <v>79</v>
      </c>
      <c r="B85" s="57" t="s">
        <v>162</v>
      </c>
      <c r="C85" s="53">
        <v>73850120.848759994</v>
      </c>
      <c r="D85" s="53">
        <v>543114961.92724097</v>
      </c>
      <c r="E85" s="53">
        <v>29249388.086325601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  <c r="N85" s="53">
        <v>0</v>
      </c>
      <c r="O85" s="53">
        <v>0</v>
      </c>
      <c r="P85" s="53">
        <v>0</v>
      </c>
      <c r="Q85" s="53">
        <v>0</v>
      </c>
      <c r="R85" s="53">
        <v>0</v>
      </c>
      <c r="S85" s="53">
        <v>0</v>
      </c>
      <c r="T85" s="64">
        <v>0</v>
      </c>
      <c r="U85" s="53">
        <v>7152.2996527540199</v>
      </c>
    </row>
    <row r="86" spans="1:21" x14ac:dyDescent="0.2">
      <c r="A86" s="52" t="s">
        <v>80</v>
      </c>
      <c r="B86" s="57" t="s">
        <v>163</v>
      </c>
      <c r="C86" s="53">
        <v>296322408.27734798</v>
      </c>
      <c r="D86" s="53">
        <v>1173125453.1896701</v>
      </c>
      <c r="E86" s="53">
        <v>6753019.73335231</v>
      </c>
      <c r="F86" s="53">
        <v>0</v>
      </c>
      <c r="G86" s="53">
        <v>0</v>
      </c>
      <c r="H86" s="53">
        <v>0</v>
      </c>
      <c r="I86" s="53">
        <v>0</v>
      </c>
      <c r="J86" s="53">
        <v>251278.580130869</v>
      </c>
      <c r="K86" s="53">
        <v>0</v>
      </c>
      <c r="L86" s="53">
        <v>0</v>
      </c>
      <c r="M86" s="53">
        <v>0</v>
      </c>
      <c r="N86" s="53">
        <v>0</v>
      </c>
      <c r="O86" s="53">
        <v>0</v>
      </c>
      <c r="P86" s="53">
        <v>0</v>
      </c>
      <c r="Q86" s="53">
        <v>0</v>
      </c>
      <c r="R86" s="53">
        <v>0</v>
      </c>
      <c r="S86" s="53">
        <v>0</v>
      </c>
      <c r="T86" s="64">
        <v>0</v>
      </c>
      <c r="U86" s="53">
        <v>20134.311258498499</v>
      </c>
    </row>
    <row r="87" spans="1:21" x14ac:dyDescent="0.2">
      <c r="A87" s="52" t="s">
        <v>81</v>
      </c>
      <c r="B87" s="57" t="s">
        <v>163</v>
      </c>
      <c r="C87" s="53">
        <v>271627140.125359</v>
      </c>
      <c r="D87" s="53">
        <v>756928485.69245398</v>
      </c>
      <c r="E87" s="53">
        <v>5862913.7649321798</v>
      </c>
      <c r="F87" s="53">
        <v>0</v>
      </c>
      <c r="G87" s="53">
        <v>0</v>
      </c>
      <c r="H87" s="53">
        <v>0</v>
      </c>
      <c r="I87" s="53">
        <v>0</v>
      </c>
      <c r="J87" s="53">
        <v>215956.252902615</v>
      </c>
      <c r="K87" s="53">
        <v>0</v>
      </c>
      <c r="L87" s="53">
        <v>0</v>
      </c>
      <c r="M87" s="53">
        <v>0</v>
      </c>
      <c r="N87" s="53">
        <v>0</v>
      </c>
      <c r="O87" s="53">
        <v>0</v>
      </c>
      <c r="P87" s="53">
        <v>0</v>
      </c>
      <c r="Q87" s="53">
        <v>0</v>
      </c>
      <c r="R87" s="53">
        <v>0</v>
      </c>
      <c r="S87" s="53">
        <v>0</v>
      </c>
      <c r="T87" s="64">
        <v>0</v>
      </c>
      <c r="U87" s="53">
        <v>33922.508794385401</v>
      </c>
    </row>
    <row r="88" spans="1:21" x14ac:dyDescent="0.2">
      <c r="A88" s="52" t="s">
        <v>82</v>
      </c>
      <c r="B88" s="57" t="s">
        <v>163</v>
      </c>
      <c r="C88" s="53">
        <v>256099126.36786699</v>
      </c>
      <c r="D88" s="53">
        <v>610744910.38221204</v>
      </c>
      <c r="E88" s="53">
        <v>6068228.8383052703</v>
      </c>
      <c r="F88" s="53">
        <v>0</v>
      </c>
      <c r="G88" s="53">
        <v>0</v>
      </c>
      <c r="H88" s="53">
        <v>0</v>
      </c>
      <c r="I88" s="53">
        <v>0</v>
      </c>
      <c r="J88" s="53">
        <v>236558.33756930899</v>
      </c>
      <c r="K88" s="53">
        <v>0</v>
      </c>
      <c r="L88" s="53">
        <v>0</v>
      </c>
      <c r="M88" s="53">
        <v>0</v>
      </c>
      <c r="N88" s="53">
        <v>0</v>
      </c>
      <c r="O88" s="53">
        <v>0</v>
      </c>
      <c r="P88" s="53">
        <v>0</v>
      </c>
      <c r="Q88" s="53">
        <v>0</v>
      </c>
      <c r="R88" s="53">
        <v>0</v>
      </c>
      <c r="S88" s="53">
        <v>0</v>
      </c>
      <c r="T88" s="64">
        <v>0</v>
      </c>
      <c r="U88" s="53">
        <v>4374.3221818231204</v>
      </c>
    </row>
    <row r="89" spans="1:21" x14ac:dyDescent="0.2">
      <c r="A89" s="52" t="s">
        <v>83</v>
      </c>
      <c r="B89" s="57" t="s">
        <v>164</v>
      </c>
      <c r="C89" s="53">
        <v>2475007.38240678</v>
      </c>
      <c r="D89" s="53">
        <v>927800.458709714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358987.129024319</v>
      </c>
      <c r="K89" s="53">
        <v>0</v>
      </c>
      <c r="L89" s="53">
        <v>0</v>
      </c>
      <c r="M89" s="53">
        <v>0</v>
      </c>
      <c r="N89" s="53">
        <v>0</v>
      </c>
      <c r="O89" s="53">
        <v>0</v>
      </c>
      <c r="P89" s="53">
        <v>0</v>
      </c>
      <c r="Q89" s="53">
        <v>0</v>
      </c>
      <c r="R89" s="53">
        <v>0</v>
      </c>
      <c r="S89" s="53">
        <v>0</v>
      </c>
      <c r="T89" s="64">
        <v>0</v>
      </c>
      <c r="U89" s="53">
        <v>69785.493724097105</v>
      </c>
    </row>
    <row r="90" spans="1:21" x14ac:dyDescent="0.2">
      <c r="A90" s="52" t="s">
        <v>84</v>
      </c>
      <c r="B90" s="57" t="s">
        <v>164</v>
      </c>
      <c r="C90" s="53">
        <v>2477118.5832760301</v>
      </c>
      <c r="D90" s="53">
        <v>875120.57656881504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367238.98646609002</v>
      </c>
      <c r="K90" s="53">
        <v>0</v>
      </c>
      <c r="L90" s="53">
        <v>0</v>
      </c>
      <c r="M90" s="53">
        <v>0</v>
      </c>
      <c r="N90" s="53">
        <v>0</v>
      </c>
      <c r="O90" s="53">
        <v>0</v>
      </c>
      <c r="P90" s="53">
        <v>0</v>
      </c>
      <c r="Q90" s="53">
        <v>0</v>
      </c>
      <c r="R90" s="53">
        <v>0</v>
      </c>
      <c r="S90" s="53">
        <v>0</v>
      </c>
      <c r="T90" s="64">
        <v>0</v>
      </c>
      <c r="U90" s="53">
        <v>4326.3863071155602</v>
      </c>
    </row>
    <row r="91" spans="1:21" x14ac:dyDescent="0.2">
      <c r="A91" s="52" t="s">
        <v>85</v>
      </c>
      <c r="B91" s="57" t="s">
        <v>164</v>
      </c>
      <c r="C91" s="53">
        <v>2293577.3888983699</v>
      </c>
      <c r="D91" s="53">
        <v>755056.10323487897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312982.15491744201</v>
      </c>
      <c r="K91" s="53">
        <v>0</v>
      </c>
      <c r="L91" s="53">
        <v>0</v>
      </c>
      <c r="M91" s="53">
        <v>0</v>
      </c>
      <c r="N91" s="53">
        <v>0</v>
      </c>
      <c r="O91" s="53">
        <v>0</v>
      </c>
      <c r="P91" s="53">
        <v>0</v>
      </c>
      <c r="Q91" s="53">
        <v>0</v>
      </c>
      <c r="R91" s="53">
        <v>0</v>
      </c>
      <c r="S91" s="53">
        <v>0</v>
      </c>
      <c r="T91" s="64">
        <v>0</v>
      </c>
      <c r="U91" s="53">
        <v>33225.673452893301</v>
      </c>
    </row>
    <row r="92" spans="1:21" x14ac:dyDescent="0.2">
      <c r="A92" s="52" t="s">
        <v>86</v>
      </c>
      <c r="B92" s="57" t="s">
        <v>165</v>
      </c>
      <c r="C92" s="53">
        <v>233895484.62781</v>
      </c>
      <c r="D92" s="53">
        <v>442165.01442194899</v>
      </c>
      <c r="E92" s="53">
        <v>8951599.3603095207</v>
      </c>
      <c r="F92" s="53">
        <v>0</v>
      </c>
      <c r="G92" s="53">
        <v>0</v>
      </c>
      <c r="H92" s="53">
        <v>0</v>
      </c>
      <c r="I92" s="53">
        <v>0</v>
      </c>
      <c r="J92" s="53">
        <v>246107.950858914</v>
      </c>
      <c r="K92" s="53">
        <v>0</v>
      </c>
      <c r="L92" s="53">
        <v>0</v>
      </c>
      <c r="M92" s="53">
        <v>0</v>
      </c>
      <c r="N92" s="53">
        <v>0</v>
      </c>
      <c r="O92" s="53">
        <v>0</v>
      </c>
      <c r="P92" s="53">
        <v>0</v>
      </c>
      <c r="Q92" s="53">
        <v>0</v>
      </c>
      <c r="R92" s="53">
        <v>0</v>
      </c>
      <c r="S92" s="53">
        <v>0</v>
      </c>
      <c r="T92" s="64">
        <v>0</v>
      </c>
      <c r="U92" s="53">
        <v>4118.9274490622402</v>
      </c>
    </row>
    <row r="93" spans="1:21" x14ac:dyDescent="0.2">
      <c r="A93" s="52" t="s">
        <v>87</v>
      </c>
      <c r="B93" s="57" t="s">
        <v>165</v>
      </c>
      <c r="C93" s="53">
        <v>219306764.72453201</v>
      </c>
      <c r="D93" s="53">
        <v>838295.14100101194</v>
      </c>
      <c r="E93" s="53">
        <v>8900100.3365591597</v>
      </c>
      <c r="F93" s="53">
        <v>0</v>
      </c>
      <c r="G93" s="53">
        <v>0</v>
      </c>
      <c r="H93" s="53">
        <v>0</v>
      </c>
      <c r="I93" s="53">
        <v>0</v>
      </c>
      <c r="J93" s="53">
        <v>239560.824456817</v>
      </c>
      <c r="K93" s="53">
        <v>0</v>
      </c>
      <c r="L93" s="53">
        <v>0</v>
      </c>
      <c r="M93" s="53">
        <v>0</v>
      </c>
      <c r="N93" s="53">
        <v>0</v>
      </c>
      <c r="O93" s="53">
        <v>0</v>
      </c>
      <c r="P93" s="53">
        <v>0</v>
      </c>
      <c r="Q93" s="53">
        <v>0</v>
      </c>
      <c r="R93" s="53">
        <v>0</v>
      </c>
      <c r="S93" s="53">
        <v>0</v>
      </c>
      <c r="T93" s="64">
        <v>0</v>
      </c>
      <c r="U93" s="53">
        <v>15055.203179571299</v>
      </c>
    </row>
    <row r="94" spans="1:21" x14ac:dyDescent="0.2">
      <c r="A94" s="52" t="s">
        <v>88</v>
      </c>
      <c r="B94" s="57" t="s">
        <v>165</v>
      </c>
      <c r="C94" s="53">
        <v>256746834.95173299</v>
      </c>
      <c r="D94" s="53">
        <v>710605.64864328399</v>
      </c>
      <c r="E94" s="53">
        <v>8839663.7435426097</v>
      </c>
      <c r="F94" s="53">
        <v>0</v>
      </c>
      <c r="G94" s="53">
        <v>0</v>
      </c>
      <c r="H94" s="53">
        <v>0</v>
      </c>
      <c r="I94" s="53">
        <v>0</v>
      </c>
      <c r="J94" s="53">
        <v>264285.495349765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64">
        <v>0</v>
      </c>
      <c r="U94" s="53">
        <v>18372.360753546302</v>
      </c>
    </row>
    <row r="95" spans="1:21" x14ac:dyDescent="0.2">
      <c r="A95" s="52" t="s">
        <v>89</v>
      </c>
      <c r="B95" s="57" t="s">
        <v>166</v>
      </c>
      <c r="C95" s="53">
        <v>75575684.299948603</v>
      </c>
      <c r="D95" s="53">
        <v>395873958.06886798</v>
      </c>
      <c r="E95" s="53">
        <v>41317270.297263101</v>
      </c>
      <c r="F95" s="53">
        <v>0</v>
      </c>
      <c r="G95" s="53">
        <v>0</v>
      </c>
      <c r="H95" s="53">
        <v>0</v>
      </c>
      <c r="I95" s="53">
        <v>0</v>
      </c>
      <c r="J95" s="53">
        <v>185656.90619713999</v>
      </c>
      <c r="K95" s="53">
        <v>0</v>
      </c>
      <c r="L95" s="53">
        <v>0</v>
      </c>
      <c r="M95" s="53">
        <v>0</v>
      </c>
      <c r="N95" s="53">
        <v>0</v>
      </c>
      <c r="O95" s="53">
        <v>0</v>
      </c>
      <c r="P95" s="53">
        <v>0</v>
      </c>
      <c r="Q95" s="53">
        <v>0</v>
      </c>
      <c r="R95" s="53">
        <v>0</v>
      </c>
      <c r="S95" s="53">
        <v>0</v>
      </c>
      <c r="T95" s="64">
        <v>0</v>
      </c>
      <c r="U95" s="53">
        <v>67138.912233483905</v>
      </c>
    </row>
    <row r="96" spans="1:21" x14ac:dyDescent="0.2">
      <c r="A96" s="52" t="s">
        <v>90</v>
      </c>
      <c r="B96" s="57" t="s">
        <v>166</v>
      </c>
      <c r="C96" s="53">
        <v>64398859.927354999</v>
      </c>
      <c r="D96" s="53">
        <v>436132862.397506</v>
      </c>
      <c r="E96" s="53">
        <v>30993059.877703</v>
      </c>
      <c r="F96" s="53">
        <v>0</v>
      </c>
      <c r="G96" s="53">
        <v>0</v>
      </c>
      <c r="H96" s="53">
        <v>0</v>
      </c>
      <c r="I96" s="53">
        <v>0</v>
      </c>
      <c r="J96" s="53">
        <v>142143.607545276</v>
      </c>
      <c r="K96" s="53">
        <v>0</v>
      </c>
      <c r="L96" s="53">
        <v>0</v>
      </c>
      <c r="M96" s="53">
        <v>0</v>
      </c>
      <c r="N96" s="53">
        <v>0</v>
      </c>
      <c r="O96" s="53">
        <v>0</v>
      </c>
      <c r="P96" s="53">
        <v>0</v>
      </c>
      <c r="Q96" s="53">
        <v>0</v>
      </c>
      <c r="R96" s="53">
        <v>0</v>
      </c>
      <c r="S96" s="53">
        <v>0</v>
      </c>
      <c r="T96" s="64">
        <v>0</v>
      </c>
      <c r="U96" s="53">
        <v>15111.711581485801</v>
      </c>
    </row>
    <row r="97" spans="1:21" x14ac:dyDescent="0.2">
      <c r="A97" s="52" t="s">
        <v>91</v>
      </c>
      <c r="B97" s="57" t="s">
        <v>166</v>
      </c>
      <c r="C97" s="53">
        <v>72326191.659027994</v>
      </c>
      <c r="D97" s="53">
        <v>470360367.209216</v>
      </c>
      <c r="E97" s="53">
        <v>33646815.460713603</v>
      </c>
      <c r="F97" s="53">
        <v>0</v>
      </c>
      <c r="G97" s="53">
        <v>0</v>
      </c>
      <c r="H97" s="53">
        <v>0</v>
      </c>
      <c r="I97" s="53">
        <v>0</v>
      </c>
      <c r="J97" s="53">
        <v>204879.435184275</v>
      </c>
      <c r="K97" s="53">
        <v>0</v>
      </c>
      <c r="L97" s="53">
        <v>0</v>
      </c>
      <c r="M97" s="53">
        <v>0</v>
      </c>
      <c r="N97" s="53">
        <v>0</v>
      </c>
      <c r="O97" s="53">
        <v>0</v>
      </c>
      <c r="P97" s="53">
        <v>0</v>
      </c>
      <c r="Q97" s="53">
        <v>0</v>
      </c>
      <c r="R97" s="53">
        <v>0</v>
      </c>
      <c r="S97" s="53">
        <v>0</v>
      </c>
      <c r="T97" s="64">
        <v>0</v>
      </c>
      <c r="U97" s="53">
        <v>10998.861025811</v>
      </c>
    </row>
    <row r="104" spans="1:21" x14ac:dyDescent="0.2">
      <c r="L104" s="64"/>
      <c r="T104" s="53"/>
    </row>
    <row r="105" spans="1:21" x14ac:dyDescent="0.2">
      <c r="L105" s="64"/>
      <c r="T105" s="53"/>
    </row>
    <row r="106" spans="1:21" x14ac:dyDescent="0.2">
      <c r="L106" s="64"/>
      <c r="T106" s="53"/>
    </row>
    <row r="107" spans="1:21" x14ac:dyDescent="0.2">
      <c r="L107" s="64"/>
      <c r="T107" s="53"/>
    </row>
    <row r="108" spans="1:21" x14ac:dyDescent="0.2">
      <c r="L108" s="64"/>
      <c r="T108" s="53"/>
    </row>
    <row r="109" spans="1:21" x14ac:dyDescent="0.2">
      <c r="L109" s="64"/>
      <c r="T109" s="53"/>
    </row>
    <row r="110" spans="1:21" x14ac:dyDescent="0.2">
      <c r="L110" s="64"/>
      <c r="T110" s="53"/>
    </row>
    <row r="111" spans="1:21" x14ac:dyDescent="0.2">
      <c r="L111" s="64"/>
      <c r="T111" s="53"/>
    </row>
    <row r="112" spans="1:21" x14ac:dyDescent="0.2">
      <c r="L112" s="64"/>
      <c r="T112" s="53"/>
    </row>
    <row r="113" spans="12:20" x14ac:dyDescent="0.2">
      <c r="L113" s="64"/>
      <c r="T113" s="53"/>
    </row>
    <row r="114" spans="12:20" x14ac:dyDescent="0.2">
      <c r="L114" s="64"/>
      <c r="T114" s="53"/>
    </row>
    <row r="115" spans="12:20" x14ac:dyDescent="0.2">
      <c r="L115" s="64"/>
      <c r="T115" s="53"/>
    </row>
    <row r="116" spans="12:20" x14ac:dyDescent="0.2">
      <c r="L116" s="64"/>
      <c r="T116" s="53"/>
    </row>
    <row r="117" spans="12:20" x14ac:dyDescent="0.2">
      <c r="L117" s="64"/>
      <c r="T117" s="53"/>
    </row>
    <row r="118" spans="12:20" x14ac:dyDescent="0.2">
      <c r="L118" s="64"/>
      <c r="T118" s="53"/>
    </row>
    <row r="119" spans="12:20" x14ac:dyDescent="0.2">
      <c r="L119" s="64"/>
      <c r="T119" s="53"/>
    </row>
    <row r="120" spans="12:20" x14ac:dyDescent="0.2">
      <c r="L120" s="64"/>
      <c r="T120" s="53"/>
    </row>
    <row r="121" spans="12:20" x14ac:dyDescent="0.2">
      <c r="L121" s="64"/>
      <c r="T121" s="53"/>
    </row>
    <row r="122" spans="12:20" x14ac:dyDescent="0.2">
      <c r="L122" s="64"/>
      <c r="T122" s="53"/>
    </row>
    <row r="123" spans="12:20" x14ac:dyDescent="0.2">
      <c r="L123" s="64"/>
      <c r="T123" s="53"/>
    </row>
    <row r="125" spans="12:20" x14ac:dyDescent="0.2">
      <c r="P125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8"/>
  <sheetViews>
    <sheetView topLeftCell="A42" zoomScale="87" zoomScaleNormal="86" workbookViewId="0">
      <selection activeCell="B59" sqref="B59:B82"/>
    </sheetView>
  </sheetViews>
  <sheetFormatPr baseColWidth="10" defaultColWidth="8.83203125" defaultRowHeight="15" x14ac:dyDescent="0.2"/>
  <cols>
    <col min="2" max="2" width="38.83203125" style="53" bestFit="1" customWidth="1"/>
    <col min="3" max="3" width="18" customWidth="1"/>
    <col min="4" max="4" width="11.1640625" customWidth="1"/>
    <col min="5" max="5" width="12.6640625" customWidth="1"/>
    <col min="6" max="6" width="8.83203125" style="34"/>
    <col min="8" max="8" width="8.83203125" style="34"/>
  </cols>
  <sheetData>
    <row r="1" spans="1:21" x14ac:dyDescent="0.2">
      <c r="A1" s="1" t="s">
        <v>2</v>
      </c>
      <c r="B1" s="61" t="s">
        <v>158</v>
      </c>
      <c r="C1" s="1" t="s">
        <v>13</v>
      </c>
      <c r="D1" s="1" t="s">
        <v>157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92</v>
      </c>
      <c r="K1" s="37" t="s">
        <v>6</v>
      </c>
      <c r="L1" s="1" t="s">
        <v>93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17</v>
      </c>
      <c r="S1" s="1" t="s">
        <v>94</v>
      </c>
      <c r="T1" s="1" t="s">
        <v>18</v>
      </c>
      <c r="U1" s="1" t="s">
        <v>12</v>
      </c>
    </row>
    <row r="2" spans="1:21" ht="16" x14ac:dyDescent="0.2">
      <c r="A2" s="1" t="s">
        <v>19</v>
      </c>
      <c r="B2" s="58" t="s">
        <v>159</v>
      </c>
      <c r="C2">
        <v>0.85853760000000001</v>
      </c>
      <c r="D2">
        <v>1.2560644999999999</v>
      </c>
      <c r="E2" t="s">
        <v>128</v>
      </c>
      <c r="F2" s="35" t="s">
        <v>128</v>
      </c>
      <c r="G2">
        <v>5.2900228</v>
      </c>
      <c r="H2" s="34">
        <v>5.5428753999999998</v>
      </c>
      <c r="I2">
        <v>6.1569276000000004</v>
      </c>
      <c r="J2">
        <v>6.6302136000000003</v>
      </c>
      <c r="K2">
        <v>6.6808968999999996</v>
      </c>
      <c r="L2">
        <v>6.8893497999999997</v>
      </c>
      <c r="M2">
        <v>6.6505656000000002</v>
      </c>
      <c r="N2">
        <v>7.1623872999999998</v>
      </c>
      <c r="O2" t="s">
        <v>128</v>
      </c>
      <c r="P2">
        <v>8.0810124999999999</v>
      </c>
      <c r="Q2">
        <v>8.6392878999999905</v>
      </c>
      <c r="R2">
        <v>8.8537426999999997</v>
      </c>
      <c r="S2" t="s">
        <v>128</v>
      </c>
      <c r="T2" t="s">
        <v>128</v>
      </c>
      <c r="U2">
        <v>9.7912716999999905</v>
      </c>
    </row>
    <row r="3" spans="1:21" ht="16" x14ac:dyDescent="0.2">
      <c r="A3" s="1" t="s">
        <v>21</v>
      </c>
      <c r="B3" s="58" t="s">
        <v>159</v>
      </c>
      <c r="C3">
        <v>0.85437605999999999</v>
      </c>
      <c r="D3">
        <v>1.2792315000000001</v>
      </c>
      <c r="E3" t="s">
        <v>128</v>
      </c>
      <c r="F3" s="35" t="s">
        <v>128</v>
      </c>
      <c r="G3">
        <v>5.2807069999999996</v>
      </c>
      <c r="H3" s="34" t="s">
        <v>128</v>
      </c>
      <c r="I3">
        <v>6.1510075000000004</v>
      </c>
      <c r="J3">
        <v>6.2057633000000001</v>
      </c>
      <c r="K3">
        <v>6.6550311000000004</v>
      </c>
      <c r="L3">
        <v>6.8800274999999997</v>
      </c>
      <c r="M3">
        <v>6.6449832999999998</v>
      </c>
      <c r="N3">
        <v>7.1721067999999999</v>
      </c>
      <c r="O3" t="s">
        <v>128</v>
      </c>
      <c r="P3">
        <v>8.0841548999999997</v>
      </c>
      <c r="Q3">
        <v>8.6408033</v>
      </c>
      <c r="R3">
        <v>8.8774853</v>
      </c>
      <c r="S3" t="s">
        <v>128</v>
      </c>
      <c r="T3" t="s">
        <v>128</v>
      </c>
      <c r="U3">
        <v>9.7743582</v>
      </c>
    </row>
    <row r="4" spans="1:21" ht="16" x14ac:dyDescent="0.2">
      <c r="A4" s="1" t="s">
        <v>23</v>
      </c>
      <c r="B4" s="58" t="s">
        <v>159</v>
      </c>
      <c r="C4">
        <v>0.85639703</v>
      </c>
      <c r="D4">
        <v>1.2704964000000001</v>
      </c>
      <c r="E4" s="35">
        <v>2.1197762999999998</v>
      </c>
      <c r="F4" s="35" t="s">
        <v>128</v>
      </c>
      <c r="G4">
        <v>5.2683219000000001</v>
      </c>
      <c r="H4" s="34">
        <v>5.22682</v>
      </c>
      <c r="I4">
        <v>6.1417035000000002</v>
      </c>
      <c r="J4">
        <v>6.1733805000000004</v>
      </c>
      <c r="K4">
        <v>6.6023942</v>
      </c>
      <c r="L4">
        <v>6.8513612999999998</v>
      </c>
      <c r="M4">
        <v>6.6150523999999997</v>
      </c>
      <c r="N4">
        <v>7.1470072</v>
      </c>
      <c r="O4" t="s">
        <v>128</v>
      </c>
      <c r="P4">
        <v>8.1044446000000008</v>
      </c>
      <c r="Q4">
        <v>8.6216121000000001</v>
      </c>
      <c r="R4">
        <v>8.8345461000000007</v>
      </c>
      <c r="S4" t="s">
        <v>128</v>
      </c>
      <c r="T4" s="35">
        <v>8.9197289000000008</v>
      </c>
      <c r="U4">
        <v>9.8040103999999904</v>
      </c>
    </row>
    <row r="5" spans="1:21" ht="16" x14ac:dyDescent="0.2">
      <c r="A5" s="1" t="s">
        <v>24</v>
      </c>
      <c r="B5" s="58" t="s">
        <v>160</v>
      </c>
      <c r="C5">
        <v>0.84200492000000005</v>
      </c>
      <c r="D5">
        <v>1.3056913999999999</v>
      </c>
      <c r="E5" t="s">
        <v>128</v>
      </c>
      <c r="F5" s="35" t="s">
        <v>128</v>
      </c>
      <c r="G5">
        <v>5.264894</v>
      </c>
      <c r="H5" s="34">
        <v>4.9905875000000002</v>
      </c>
      <c r="I5">
        <v>6.1186737000000004</v>
      </c>
      <c r="J5">
        <v>6.3618117999999999</v>
      </c>
      <c r="K5">
        <v>6.4772088999999999</v>
      </c>
      <c r="L5">
        <v>6.8689166000000004</v>
      </c>
      <c r="M5">
        <v>6.6130494999999998</v>
      </c>
      <c r="N5">
        <v>7.1433711000000004</v>
      </c>
      <c r="O5" t="s">
        <v>128</v>
      </c>
      <c r="P5">
        <v>8.082592</v>
      </c>
      <c r="Q5">
        <v>8.6222277999999903</v>
      </c>
      <c r="R5">
        <v>8.8352179999999905</v>
      </c>
      <c r="S5" t="s">
        <v>128</v>
      </c>
      <c r="T5" s="35">
        <v>9.1796220000000002</v>
      </c>
      <c r="U5">
        <v>9.7979468000000001</v>
      </c>
    </row>
    <row r="6" spans="1:21" ht="16" x14ac:dyDescent="0.2">
      <c r="A6" s="1" t="s">
        <v>25</v>
      </c>
      <c r="B6" s="58" t="s">
        <v>160</v>
      </c>
      <c r="C6">
        <v>0.85383730999999996</v>
      </c>
      <c r="D6">
        <v>1.3037822999999999</v>
      </c>
      <c r="E6" t="s">
        <v>128</v>
      </c>
      <c r="F6" s="35" t="s">
        <v>128</v>
      </c>
      <c r="G6">
        <v>5.2733454000000002</v>
      </c>
      <c r="H6" s="34">
        <v>5.4029549000000001</v>
      </c>
      <c r="I6">
        <v>6.1480917000000002</v>
      </c>
      <c r="J6">
        <v>6.2029890999999999</v>
      </c>
      <c r="K6">
        <v>6.5059057999999999</v>
      </c>
      <c r="L6">
        <v>6.8746137999999997</v>
      </c>
      <c r="M6">
        <v>6.6209968999999997</v>
      </c>
      <c r="N6">
        <v>7.1654932000000002</v>
      </c>
      <c r="O6" t="s">
        <v>128</v>
      </c>
      <c r="P6">
        <v>8.0618581000000002</v>
      </c>
      <c r="Q6">
        <v>8.6370605000000005</v>
      </c>
      <c r="R6">
        <v>8.8506549000000003</v>
      </c>
      <c r="S6" t="s">
        <v>128</v>
      </c>
      <c r="T6" s="35">
        <v>9.1506843</v>
      </c>
      <c r="U6">
        <v>9.7311925000000006</v>
      </c>
    </row>
    <row r="7" spans="1:21" ht="16" x14ac:dyDescent="0.2">
      <c r="A7" s="1" t="s">
        <v>26</v>
      </c>
      <c r="B7" s="58" t="s">
        <v>160</v>
      </c>
      <c r="C7">
        <v>0.86544367</v>
      </c>
      <c r="D7">
        <v>1.2339975999999999</v>
      </c>
      <c r="E7" t="s">
        <v>128</v>
      </c>
      <c r="F7" s="35" t="s">
        <v>128</v>
      </c>
      <c r="G7">
        <v>5.3080660000000002</v>
      </c>
      <c r="H7" s="34" t="s">
        <v>128</v>
      </c>
      <c r="I7">
        <v>6.2030475000000003</v>
      </c>
      <c r="J7">
        <v>6.4668916999999997</v>
      </c>
      <c r="K7">
        <v>6.5596703999999999</v>
      </c>
      <c r="L7">
        <v>6.9286719000000003</v>
      </c>
      <c r="M7">
        <v>6.673063</v>
      </c>
      <c r="N7">
        <v>7.1843266000000003</v>
      </c>
      <c r="O7" t="s">
        <v>128</v>
      </c>
      <c r="P7">
        <v>8.1212891000000003</v>
      </c>
      <c r="Q7">
        <v>8.6789289000000007</v>
      </c>
      <c r="R7">
        <v>8.8917482999999997</v>
      </c>
      <c r="S7" t="s">
        <v>128</v>
      </c>
      <c r="T7" s="35">
        <v>9.0187662999999905</v>
      </c>
      <c r="U7">
        <v>9.7823340999999999</v>
      </c>
    </row>
    <row r="8" spans="1:21" ht="16" x14ac:dyDescent="0.2">
      <c r="A8" s="1" t="s">
        <v>95</v>
      </c>
      <c r="B8" s="58" t="s">
        <v>161</v>
      </c>
      <c r="C8">
        <v>0.85797268000000004</v>
      </c>
      <c r="D8">
        <v>1.3324841000000001</v>
      </c>
      <c r="E8" t="s">
        <v>128</v>
      </c>
      <c r="F8" s="35" t="s">
        <v>128</v>
      </c>
      <c r="G8">
        <v>5.2830618999999999</v>
      </c>
      <c r="H8" s="34">
        <v>5.9390283000000004</v>
      </c>
      <c r="I8">
        <v>6.1524353999999999</v>
      </c>
      <c r="J8">
        <v>6.3118194000000001</v>
      </c>
      <c r="K8">
        <v>6.5504951</v>
      </c>
      <c r="L8">
        <v>6.8989928999999997</v>
      </c>
      <c r="M8">
        <v>6.6448776000000001</v>
      </c>
      <c r="N8">
        <v>7.1721491999999998</v>
      </c>
      <c r="O8" t="s">
        <v>128</v>
      </c>
      <c r="P8">
        <v>8.0879724</v>
      </c>
      <c r="Q8">
        <v>8.6441601000000006</v>
      </c>
      <c r="R8">
        <v>8.8577087999999904</v>
      </c>
      <c r="S8" t="s">
        <v>128</v>
      </c>
      <c r="T8" s="35">
        <v>8.9447582000000008</v>
      </c>
      <c r="U8">
        <v>9.7474843</v>
      </c>
    </row>
    <row r="9" spans="1:21" ht="16" x14ac:dyDescent="0.2">
      <c r="A9" s="1" t="s">
        <v>27</v>
      </c>
      <c r="B9" s="58" t="s">
        <v>161</v>
      </c>
      <c r="C9">
        <v>0.85634562999999997</v>
      </c>
      <c r="D9">
        <v>1.3242136</v>
      </c>
      <c r="E9" t="s">
        <v>128</v>
      </c>
      <c r="F9" s="35" t="s">
        <v>128</v>
      </c>
      <c r="G9">
        <v>5.2878183999999999</v>
      </c>
      <c r="H9" s="34">
        <v>5.5216292999999999</v>
      </c>
      <c r="I9">
        <v>6.1584835</v>
      </c>
      <c r="J9">
        <v>6.2133142000000001</v>
      </c>
      <c r="K9">
        <v>6.5397287000000004</v>
      </c>
      <c r="L9">
        <v>6.9079221000000004</v>
      </c>
      <c r="M9">
        <v>6.6522883999999998</v>
      </c>
      <c r="N9">
        <v>7.1612496999999999</v>
      </c>
      <c r="O9" t="s">
        <v>128</v>
      </c>
      <c r="P9">
        <v>8.0975683000000007</v>
      </c>
      <c r="Q9">
        <v>8.6535604999999904</v>
      </c>
      <c r="R9">
        <v>8.8682154000000004</v>
      </c>
      <c r="S9" t="s">
        <v>128</v>
      </c>
      <c r="T9" s="35">
        <v>8.9536607000000004</v>
      </c>
      <c r="U9">
        <v>9.8102319999999903</v>
      </c>
    </row>
    <row r="10" spans="1:21" ht="16" x14ac:dyDescent="0.2">
      <c r="A10" s="1" t="s">
        <v>28</v>
      </c>
      <c r="B10" s="58" t="s">
        <v>161</v>
      </c>
      <c r="C10">
        <v>0.86042503000000004</v>
      </c>
      <c r="D10">
        <v>1.2855802999999999</v>
      </c>
      <c r="E10" s="35">
        <v>2.0614732999999998</v>
      </c>
      <c r="F10" s="35" t="s">
        <v>128</v>
      </c>
      <c r="G10">
        <v>5.2499082000000001</v>
      </c>
      <c r="H10" s="34">
        <v>5.4655982999999999</v>
      </c>
      <c r="I10">
        <v>6.1473502</v>
      </c>
      <c r="J10">
        <v>6.1583000999999999</v>
      </c>
      <c r="K10">
        <v>6.5031707000000001</v>
      </c>
      <c r="L10">
        <v>6.8951076000000002</v>
      </c>
      <c r="M10">
        <v>6.6392989</v>
      </c>
      <c r="N10">
        <v>7.1462184000000004</v>
      </c>
      <c r="O10" t="s">
        <v>128</v>
      </c>
      <c r="P10">
        <v>8.0618248999999995</v>
      </c>
      <c r="Q10">
        <v>8.6205543999999996</v>
      </c>
      <c r="R10">
        <v>8.8576194000000008</v>
      </c>
      <c r="S10" t="s">
        <v>128</v>
      </c>
      <c r="T10" s="35">
        <v>8.9000670999999905</v>
      </c>
      <c r="U10">
        <v>9.8287984000000002</v>
      </c>
    </row>
    <row r="11" spans="1:21" ht="16" x14ac:dyDescent="0.2">
      <c r="A11" s="1" t="s">
        <v>29</v>
      </c>
      <c r="B11" s="58" t="s">
        <v>162</v>
      </c>
      <c r="C11">
        <v>0.84735872999999995</v>
      </c>
      <c r="D11">
        <v>1.3198055</v>
      </c>
      <c r="E11">
        <v>2.0492965000000001</v>
      </c>
      <c r="F11" s="35" t="s">
        <v>128</v>
      </c>
      <c r="G11">
        <v>5.2591501999999997</v>
      </c>
      <c r="H11" s="34">
        <v>5.5576793999999996</v>
      </c>
      <c r="I11">
        <v>6.1328255</v>
      </c>
      <c r="J11" s="34">
        <v>7.1251395000000004</v>
      </c>
      <c r="K11">
        <v>6.4920751000000001</v>
      </c>
      <c r="L11">
        <v>6.8845558000000002</v>
      </c>
      <c r="M11">
        <v>6.6468116999999998</v>
      </c>
      <c r="N11">
        <v>7.1561124999999999</v>
      </c>
      <c r="O11" t="s">
        <v>128</v>
      </c>
      <c r="P11">
        <v>8.1107581999999905</v>
      </c>
      <c r="Q11">
        <v>8.6251423000000003</v>
      </c>
      <c r="R11">
        <v>8.8611614999999997</v>
      </c>
      <c r="S11" t="s">
        <v>128</v>
      </c>
      <c r="T11" s="35">
        <v>8.9037091000000004</v>
      </c>
      <c r="U11">
        <v>9.7712409000000005</v>
      </c>
    </row>
    <row r="12" spans="1:21" ht="16" x14ac:dyDescent="0.2">
      <c r="A12" s="1" t="s">
        <v>30</v>
      </c>
      <c r="B12" s="58" t="s">
        <v>162</v>
      </c>
      <c r="C12">
        <v>0.84420052999999995</v>
      </c>
      <c r="D12">
        <v>1.3370431</v>
      </c>
      <c r="E12">
        <v>2.0297719999999999</v>
      </c>
      <c r="F12" s="35" t="s">
        <v>128</v>
      </c>
      <c r="G12">
        <v>5.2444046999999996</v>
      </c>
      <c r="H12" s="34" t="s">
        <v>128</v>
      </c>
      <c r="I12">
        <v>6.1160489</v>
      </c>
      <c r="J12">
        <v>6.5022064999999998</v>
      </c>
      <c r="K12">
        <v>6.5760667000000002</v>
      </c>
      <c r="L12">
        <v>6.8431626999999997</v>
      </c>
      <c r="M12">
        <v>6.6068790000000002</v>
      </c>
      <c r="N12">
        <v>7.1373794999999998</v>
      </c>
      <c r="O12" t="s">
        <v>128</v>
      </c>
      <c r="P12">
        <v>8.0271632000000004</v>
      </c>
      <c r="Q12">
        <v>8.6061154999999996</v>
      </c>
      <c r="R12">
        <v>8.8214330000000007</v>
      </c>
      <c r="S12" t="s">
        <v>128</v>
      </c>
      <c r="T12" s="35">
        <v>9.1586388999999997</v>
      </c>
      <c r="U12">
        <v>9.7739471000000009</v>
      </c>
    </row>
    <row r="13" spans="1:21" ht="16" x14ac:dyDescent="0.2">
      <c r="A13" s="1" t="s">
        <v>31</v>
      </c>
      <c r="B13" s="58" t="s">
        <v>162</v>
      </c>
      <c r="C13">
        <v>0.84758825000000004</v>
      </c>
      <c r="D13">
        <v>1.3276224000000001</v>
      </c>
      <c r="E13">
        <v>2.0493032000000002</v>
      </c>
      <c r="F13" s="35" t="s">
        <v>128</v>
      </c>
      <c r="G13">
        <v>5.3234083999999999</v>
      </c>
      <c r="H13" s="34">
        <v>5.6005710999999998</v>
      </c>
      <c r="I13">
        <v>6.2143837</v>
      </c>
      <c r="J13">
        <v>6.3766891000000001</v>
      </c>
      <c r="K13">
        <v>6.5533650000000003</v>
      </c>
      <c r="L13">
        <v>6.9421372000000003</v>
      </c>
      <c r="M13">
        <v>6.6889409000000004</v>
      </c>
      <c r="N13">
        <v>7.1976437999999998</v>
      </c>
      <c r="O13" t="s">
        <v>128</v>
      </c>
      <c r="P13">
        <v>8.1328399000000005</v>
      </c>
      <c r="Q13">
        <v>8.6871609999999997</v>
      </c>
      <c r="R13">
        <v>8.9025844999999997</v>
      </c>
      <c r="S13" t="s">
        <v>128</v>
      </c>
      <c r="T13" s="35">
        <v>9.0808981000000006</v>
      </c>
      <c r="U13">
        <v>9.7412455999999903</v>
      </c>
    </row>
    <row r="14" spans="1:21" ht="16" x14ac:dyDescent="0.2">
      <c r="A14" s="1" t="s">
        <v>32</v>
      </c>
      <c r="B14" s="58" t="s">
        <v>163</v>
      </c>
      <c r="C14">
        <v>0.86898456000000002</v>
      </c>
      <c r="D14">
        <v>1.2291654000000001</v>
      </c>
      <c r="E14" s="35">
        <v>1.9459584999999999</v>
      </c>
      <c r="F14" s="35" t="s">
        <v>128</v>
      </c>
      <c r="G14">
        <v>5.2770864</v>
      </c>
      <c r="H14" s="34">
        <v>5.4892764999999999</v>
      </c>
      <c r="I14">
        <v>6.1592200000000004</v>
      </c>
      <c r="J14">
        <v>6.1930361999999999</v>
      </c>
      <c r="K14">
        <v>6.5121780999999999</v>
      </c>
      <c r="L14">
        <v>6.8973192000000001</v>
      </c>
      <c r="M14" s="34">
        <v>7.4287656000000002</v>
      </c>
      <c r="N14">
        <v>7.1658799999999996</v>
      </c>
      <c r="O14">
        <v>7.2477292999999996</v>
      </c>
      <c r="P14">
        <v>8.0293617000000008</v>
      </c>
      <c r="Q14">
        <v>8.6043245000000006</v>
      </c>
      <c r="R14">
        <v>8.8609124000000001</v>
      </c>
      <c r="S14">
        <v>8.2750141999999904</v>
      </c>
      <c r="T14" s="35">
        <v>9.0730465000000002</v>
      </c>
      <c r="U14">
        <v>9.8060603999999998</v>
      </c>
    </row>
    <row r="15" spans="1:21" ht="16" x14ac:dyDescent="0.2">
      <c r="A15" s="1" t="s">
        <v>33</v>
      </c>
      <c r="B15" s="58" t="s">
        <v>163</v>
      </c>
      <c r="C15">
        <v>0.85366865999999997</v>
      </c>
      <c r="D15">
        <v>1.2898366999999999</v>
      </c>
      <c r="E15" t="s">
        <v>128</v>
      </c>
      <c r="F15" s="35" t="s">
        <v>128</v>
      </c>
      <c r="G15">
        <v>5.2675745999999997</v>
      </c>
      <c r="H15" s="34">
        <v>5.4813523000000002</v>
      </c>
      <c r="I15">
        <v>6.1542478999999997</v>
      </c>
      <c r="J15">
        <v>6.2091890999999997</v>
      </c>
      <c r="K15">
        <v>6.4872123000000004</v>
      </c>
      <c r="L15">
        <v>6.8758659</v>
      </c>
      <c r="M15">
        <v>6.6420760000000003</v>
      </c>
      <c r="N15">
        <v>7.1445622999999996</v>
      </c>
      <c r="O15">
        <v>7.0616855999999997</v>
      </c>
      <c r="P15">
        <v>8.0543414000000002</v>
      </c>
      <c r="Q15">
        <v>8.5886628999999903</v>
      </c>
      <c r="R15">
        <v>8.8473611000000005</v>
      </c>
      <c r="S15">
        <v>8.2794401000000004</v>
      </c>
      <c r="T15" s="35">
        <v>8.9107669000000005</v>
      </c>
      <c r="U15">
        <v>9.7754363000000009</v>
      </c>
    </row>
    <row r="16" spans="1:21" ht="16" x14ac:dyDescent="0.2">
      <c r="A16" s="1" t="s">
        <v>34</v>
      </c>
      <c r="B16" s="58" t="s">
        <v>163</v>
      </c>
      <c r="C16">
        <v>0.87147096999999996</v>
      </c>
      <c r="D16">
        <v>1.2303871</v>
      </c>
      <c r="E16" t="s">
        <v>128</v>
      </c>
      <c r="F16" s="35" t="s">
        <v>128</v>
      </c>
      <c r="G16">
        <v>5.2599228</v>
      </c>
      <c r="H16" s="34">
        <v>5.4543464000000004</v>
      </c>
      <c r="I16">
        <v>6.1484793</v>
      </c>
      <c r="J16">
        <v>6.1800769999999998</v>
      </c>
      <c r="K16">
        <v>6.5003935999999998</v>
      </c>
      <c r="L16">
        <v>6.8672453000000004</v>
      </c>
      <c r="M16">
        <v>6.6337342000000001</v>
      </c>
      <c r="N16">
        <v>7.1562580000000002</v>
      </c>
      <c r="O16">
        <v>7.0109526999999998</v>
      </c>
      <c r="P16">
        <v>8.0219875999999903</v>
      </c>
      <c r="Q16">
        <v>8.6003109999999996</v>
      </c>
      <c r="R16">
        <v>8.8353531000000007</v>
      </c>
      <c r="S16" t="s">
        <v>128</v>
      </c>
      <c r="T16" s="35">
        <v>8.9224295999999903</v>
      </c>
      <c r="U16">
        <v>9.7676406</v>
      </c>
    </row>
    <row r="17" spans="1:21" ht="16" x14ac:dyDescent="0.2">
      <c r="A17" s="1" t="s">
        <v>35</v>
      </c>
      <c r="B17" s="58" t="s">
        <v>164</v>
      </c>
      <c r="C17">
        <v>0.86003304999999997</v>
      </c>
      <c r="D17">
        <v>1.2607036</v>
      </c>
      <c r="E17" t="s">
        <v>128</v>
      </c>
      <c r="F17" s="35" t="s">
        <v>128</v>
      </c>
      <c r="G17">
        <v>5.2229165000000002</v>
      </c>
      <c r="H17" s="34">
        <v>5.3934819999999997</v>
      </c>
      <c r="I17">
        <v>6.1018274000000003</v>
      </c>
      <c r="J17">
        <v>6.1757061000000002</v>
      </c>
      <c r="K17">
        <v>6.8398057000000003</v>
      </c>
      <c r="L17">
        <v>6.8398057000000003</v>
      </c>
      <c r="M17">
        <v>6.5866597000000002</v>
      </c>
      <c r="N17">
        <v>7.1274372000000001</v>
      </c>
      <c r="O17" t="s">
        <v>128</v>
      </c>
      <c r="P17">
        <v>7.9916418</v>
      </c>
      <c r="Q17">
        <v>8.5884795</v>
      </c>
      <c r="R17">
        <v>8.8232195999999998</v>
      </c>
      <c r="S17" s="36">
        <v>7.5190305000000004</v>
      </c>
      <c r="T17" s="35">
        <v>8.8864649</v>
      </c>
      <c r="U17">
        <v>9.7451924000000005</v>
      </c>
    </row>
    <row r="18" spans="1:21" ht="16" x14ac:dyDescent="0.2">
      <c r="A18" s="1" t="s">
        <v>36</v>
      </c>
      <c r="B18" s="58" t="s">
        <v>164</v>
      </c>
      <c r="C18">
        <v>0.85511716999999998</v>
      </c>
      <c r="D18" s="35">
        <v>1.2970683000000001</v>
      </c>
      <c r="E18" t="s">
        <v>128</v>
      </c>
      <c r="F18" s="35" t="s">
        <v>128</v>
      </c>
      <c r="G18">
        <v>5.3145208000000004</v>
      </c>
      <c r="H18" s="34" t="s">
        <v>128</v>
      </c>
      <c r="I18">
        <v>6.1784796999999996</v>
      </c>
      <c r="J18">
        <v>6.1891964000000002</v>
      </c>
      <c r="K18">
        <v>6.5516145999999997</v>
      </c>
      <c r="L18">
        <v>6.9172621000000003</v>
      </c>
      <c r="M18">
        <v>6.6626887999999997</v>
      </c>
      <c r="N18">
        <v>7.164873</v>
      </c>
      <c r="O18">
        <v>7.3782236000000001</v>
      </c>
      <c r="P18">
        <v>8.0341777000000008</v>
      </c>
      <c r="Q18">
        <v>8.6536778000000005</v>
      </c>
      <c r="R18">
        <v>8.8679200999999903</v>
      </c>
      <c r="S18" t="s">
        <v>128</v>
      </c>
      <c r="T18" s="35">
        <v>8.9742902999999998</v>
      </c>
      <c r="U18">
        <v>9.7752741000000007</v>
      </c>
    </row>
    <row r="19" spans="1:21" ht="16" x14ac:dyDescent="0.2">
      <c r="A19" s="1" t="s">
        <v>37</v>
      </c>
      <c r="B19" s="58" t="s">
        <v>164</v>
      </c>
      <c r="C19">
        <v>0.87118452999999996</v>
      </c>
      <c r="D19">
        <v>1.2332657</v>
      </c>
      <c r="E19" t="s">
        <v>128</v>
      </c>
      <c r="F19" s="35" t="s">
        <v>128</v>
      </c>
      <c r="G19">
        <v>5.3012154000000002</v>
      </c>
      <c r="H19" s="34" t="s">
        <v>128</v>
      </c>
      <c r="I19">
        <v>6.1629765000000001</v>
      </c>
      <c r="J19">
        <v>6.1736407</v>
      </c>
      <c r="K19">
        <v>6.5954131</v>
      </c>
      <c r="L19">
        <v>6.8786405000000004</v>
      </c>
      <c r="M19">
        <v>6.6455044000000001</v>
      </c>
      <c r="N19">
        <v>7.1668696000000001</v>
      </c>
      <c r="O19">
        <v>7.1875675000000001</v>
      </c>
      <c r="P19">
        <v>7.9907621000000004</v>
      </c>
      <c r="Q19">
        <v>8.6098871999999904</v>
      </c>
      <c r="R19">
        <v>8.8442022999999903</v>
      </c>
      <c r="S19" t="s">
        <v>128</v>
      </c>
      <c r="T19" s="35">
        <v>8.9293829999999996</v>
      </c>
      <c r="U19">
        <v>9.7692712000000004</v>
      </c>
    </row>
    <row r="20" spans="1:21" ht="16" x14ac:dyDescent="0.2">
      <c r="A20" s="1" t="s">
        <v>38</v>
      </c>
      <c r="B20" s="58" t="s">
        <v>165</v>
      </c>
      <c r="C20">
        <v>0.84475496000000005</v>
      </c>
      <c r="D20">
        <v>1.3553014000000001</v>
      </c>
      <c r="E20">
        <v>2.1081881999999998</v>
      </c>
      <c r="F20" s="35" t="s">
        <v>128</v>
      </c>
      <c r="G20">
        <v>5.2551899999999998</v>
      </c>
      <c r="H20" s="34">
        <v>5.4880176000000001</v>
      </c>
      <c r="I20">
        <v>6.1548506999999999</v>
      </c>
      <c r="J20">
        <v>6.1655984000000004</v>
      </c>
      <c r="K20">
        <v>6.4866150999999999</v>
      </c>
      <c r="L20">
        <v>6.8717021999999996</v>
      </c>
      <c r="M20">
        <v>6.6408868999999999</v>
      </c>
      <c r="N20">
        <v>7.1589105999999996</v>
      </c>
      <c r="O20">
        <v>7.0766945000000003</v>
      </c>
      <c r="P20">
        <v>8.0435630000000007</v>
      </c>
      <c r="Q20">
        <v>8.5955718999999995</v>
      </c>
      <c r="R20">
        <v>8.8314473000000007</v>
      </c>
      <c r="S20" t="s">
        <v>128</v>
      </c>
      <c r="T20" s="35">
        <v>8.9158282</v>
      </c>
      <c r="U20">
        <v>9.7607184</v>
      </c>
    </row>
    <row r="21" spans="1:21" ht="16" x14ac:dyDescent="0.2">
      <c r="A21" s="1" t="s">
        <v>39</v>
      </c>
      <c r="B21" s="58" t="s">
        <v>165</v>
      </c>
      <c r="C21">
        <v>0.84889713</v>
      </c>
      <c r="D21">
        <v>1.3365172000000001</v>
      </c>
      <c r="E21">
        <v>2.0424142000000001</v>
      </c>
      <c r="F21" s="35" t="s">
        <v>128</v>
      </c>
      <c r="G21">
        <v>5.2501908999999998</v>
      </c>
      <c r="H21" s="34">
        <v>5.4412165999999997</v>
      </c>
      <c r="I21">
        <v>6.1305205000000003</v>
      </c>
      <c r="J21">
        <v>6.1830220999999996</v>
      </c>
      <c r="K21">
        <v>6.5029219999999999</v>
      </c>
      <c r="L21">
        <v>6.8491175999999996</v>
      </c>
      <c r="M21">
        <v>6.6161649999999996</v>
      </c>
      <c r="N21">
        <v>7.1382823999999996</v>
      </c>
      <c r="O21">
        <v>7.0326664000000001</v>
      </c>
      <c r="P21">
        <v>8.0073953000000007</v>
      </c>
      <c r="Q21">
        <v>8.5858893999999903</v>
      </c>
      <c r="R21">
        <v>8.8439292999999903</v>
      </c>
      <c r="S21" t="s">
        <v>128</v>
      </c>
      <c r="T21" s="35">
        <v>8.9100122000000006</v>
      </c>
      <c r="U21">
        <v>9.7516461000000003</v>
      </c>
    </row>
    <row r="22" spans="1:21" ht="16" x14ac:dyDescent="0.2">
      <c r="A22" s="1" t="s">
        <v>40</v>
      </c>
      <c r="B22" s="58" t="s">
        <v>165</v>
      </c>
      <c r="C22">
        <v>0.85303766000000003</v>
      </c>
      <c r="D22">
        <v>1.3170078000000001</v>
      </c>
      <c r="E22" s="35">
        <v>1.9186182000000001</v>
      </c>
      <c r="F22" s="35" t="s">
        <v>128</v>
      </c>
      <c r="G22">
        <v>5.2502398000000001</v>
      </c>
      <c r="H22" s="34">
        <v>5.4643926</v>
      </c>
      <c r="I22">
        <v>6.1381170999999997</v>
      </c>
      <c r="J22">
        <v>6.1691317000000003</v>
      </c>
      <c r="K22">
        <v>6.5524706999999998</v>
      </c>
      <c r="L22">
        <v>6.8566916000000004</v>
      </c>
      <c r="M22">
        <v>6.6238178999999997</v>
      </c>
      <c r="N22">
        <v>7.1450415999999999</v>
      </c>
      <c r="O22" s="35">
        <v>7.3766483999999997</v>
      </c>
      <c r="P22">
        <v>8.0106129999999904</v>
      </c>
      <c r="Q22">
        <v>8.5862362000000001</v>
      </c>
      <c r="R22">
        <v>8.8407657999999998</v>
      </c>
      <c r="S22" t="s">
        <v>128</v>
      </c>
      <c r="T22" s="35">
        <v>8.9053757999999998</v>
      </c>
      <c r="U22">
        <v>9.7496326999999905</v>
      </c>
    </row>
    <row r="23" spans="1:21" ht="16" x14ac:dyDescent="0.2">
      <c r="A23" s="1" t="s">
        <v>41</v>
      </c>
      <c r="B23" s="58" t="s">
        <v>166</v>
      </c>
      <c r="C23">
        <v>0.84500545999999999</v>
      </c>
      <c r="D23">
        <v>1.3655729000000001</v>
      </c>
      <c r="E23">
        <v>2.0913366999999998</v>
      </c>
      <c r="F23" s="35" t="s">
        <v>128</v>
      </c>
      <c r="G23">
        <v>5.2986320999999998</v>
      </c>
      <c r="H23" s="34">
        <v>5.5338951999999999</v>
      </c>
      <c r="I23">
        <v>6.1839512000000001</v>
      </c>
      <c r="J23">
        <v>6.1971843</v>
      </c>
      <c r="K23">
        <v>6.5597048999999998</v>
      </c>
      <c r="L23">
        <v>6.9232670000000001</v>
      </c>
      <c r="M23">
        <v>6.6725519000000002</v>
      </c>
      <c r="N23">
        <v>7.1713613</v>
      </c>
      <c r="O23" s="35">
        <v>7.3382538000000004</v>
      </c>
      <c r="P23">
        <v>8.0557345999999903</v>
      </c>
      <c r="Q23">
        <v>8.6529326999999903</v>
      </c>
      <c r="R23">
        <v>8.8892375000000001</v>
      </c>
      <c r="S23">
        <v>8.3212661000000008</v>
      </c>
      <c r="T23" s="35">
        <v>9.2161183999999903</v>
      </c>
      <c r="U23">
        <v>9.8073081000000002</v>
      </c>
    </row>
    <row r="24" spans="1:21" ht="16" x14ac:dyDescent="0.2">
      <c r="A24" s="1" t="s">
        <v>42</v>
      </c>
      <c r="B24" s="58" t="s">
        <v>166</v>
      </c>
      <c r="C24">
        <v>0.84125422999999999</v>
      </c>
      <c r="D24">
        <v>1.3709153000000001</v>
      </c>
      <c r="E24">
        <v>2.0981874999999999</v>
      </c>
      <c r="F24" s="35" t="s">
        <v>128</v>
      </c>
      <c r="G24">
        <v>5.2608082999999999</v>
      </c>
      <c r="H24" s="34">
        <v>5.4942380000000002</v>
      </c>
      <c r="I24">
        <v>6.1609167999999999</v>
      </c>
      <c r="J24">
        <v>6.1716521999999996</v>
      </c>
      <c r="K24">
        <v>6.9000659999999998</v>
      </c>
      <c r="L24">
        <v>6.9000659999999998</v>
      </c>
      <c r="M24">
        <v>6.6482426999999999</v>
      </c>
      <c r="N24">
        <v>7.1663413</v>
      </c>
      <c r="O24">
        <v>7.0648128999999997</v>
      </c>
      <c r="P24">
        <v>8.0744498</v>
      </c>
      <c r="Q24">
        <v>8.6300670000000004</v>
      </c>
      <c r="R24">
        <v>8.8643341000000007</v>
      </c>
      <c r="S24">
        <v>8.4055225999999905</v>
      </c>
      <c r="T24" s="35">
        <v>8.9511733000000007</v>
      </c>
      <c r="U24">
        <v>9.8020195999999995</v>
      </c>
    </row>
    <row r="25" spans="1:21" ht="16" x14ac:dyDescent="0.2">
      <c r="A25" s="1" t="s">
        <v>43</v>
      </c>
      <c r="B25" s="58" t="s">
        <v>166</v>
      </c>
      <c r="C25">
        <v>0.85417387</v>
      </c>
      <c r="D25">
        <v>1.3124501</v>
      </c>
      <c r="E25" s="35">
        <v>2.0000100000000001</v>
      </c>
      <c r="F25" s="35" t="s">
        <v>128</v>
      </c>
      <c r="G25">
        <v>5.2427885999999999</v>
      </c>
      <c r="H25" s="34">
        <v>5.4995221000000001</v>
      </c>
      <c r="I25">
        <v>6.1300262999999999</v>
      </c>
      <c r="J25">
        <v>6.2029945</v>
      </c>
      <c r="K25">
        <v>6.4815009999999997</v>
      </c>
      <c r="L25">
        <v>6.8680608999999997</v>
      </c>
      <c r="M25">
        <v>6.6140584000000002</v>
      </c>
      <c r="N25">
        <v>7.1541987000000002</v>
      </c>
      <c r="O25">
        <v>7.0941073000000001</v>
      </c>
      <c r="P25">
        <v>8.0594049999999999</v>
      </c>
      <c r="Q25">
        <v>8.5931263999999903</v>
      </c>
      <c r="R25">
        <v>8.8486288999999996</v>
      </c>
      <c r="S25" t="s">
        <v>128</v>
      </c>
      <c r="T25" s="35">
        <v>8.8919952999999996</v>
      </c>
      <c r="U25">
        <v>9.8096142999999998</v>
      </c>
    </row>
    <row r="26" spans="1:21" x14ac:dyDescent="0.2">
      <c r="A26" s="1" t="s">
        <v>129</v>
      </c>
      <c r="B26" s="59"/>
      <c r="C26">
        <v>0.81721204999999997</v>
      </c>
      <c r="D26">
        <v>1.6343901000000001</v>
      </c>
      <c r="E26" t="s">
        <v>128</v>
      </c>
      <c r="F26" s="35" t="s">
        <v>128</v>
      </c>
      <c r="G26" t="s">
        <v>128</v>
      </c>
      <c r="H26" s="34" t="s">
        <v>128</v>
      </c>
      <c r="I26" t="s">
        <v>128</v>
      </c>
      <c r="J26" t="s">
        <v>128</v>
      </c>
      <c r="K26" t="s">
        <v>128</v>
      </c>
      <c r="L26" t="s">
        <v>128</v>
      </c>
      <c r="M26" t="s">
        <v>128</v>
      </c>
      <c r="N26" t="s">
        <v>128</v>
      </c>
      <c r="O26" t="s">
        <v>128</v>
      </c>
      <c r="P26">
        <v>8.8740813999999997</v>
      </c>
      <c r="Q26">
        <v>9.1742833000000008</v>
      </c>
      <c r="R26" t="s">
        <v>128</v>
      </c>
      <c r="S26" t="s">
        <v>128</v>
      </c>
      <c r="T26" t="s">
        <v>128</v>
      </c>
      <c r="U26">
        <v>9.7230337999999996</v>
      </c>
    </row>
    <row r="27" spans="1:21" x14ac:dyDescent="0.2">
      <c r="A27" s="1" t="s">
        <v>130</v>
      </c>
      <c r="B27" s="59"/>
      <c r="C27">
        <v>1.1791339999999999</v>
      </c>
      <c r="D27">
        <v>1.6292538999999999</v>
      </c>
      <c r="E27" t="s">
        <v>128</v>
      </c>
      <c r="F27" s="35" t="s">
        <v>128</v>
      </c>
      <c r="G27" t="s">
        <v>128</v>
      </c>
      <c r="H27" s="34" t="s">
        <v>128</v>
      </c>
      <c r="I27" t="s">
        <v>128</v>
      </c>
      <c r="J27">
        <v>6.9960494999999998</v>
      </c>
      <c r="K27" t="s">
        <v>128</v>
      </c>
      <c r="L27" t="s">
        <v>128</v>
      </c>
      <c r="M27" t="s">
        <v>128</v>
      </c>
      <c r="N27" t="s">
        <v>128</v>
      </c>
      <c r="O27" t="s">
        <v>128</v>
      </c>
      <c r="P27">
        <v>8.7809978999999903</v>
      </c>
      <c r="Q27">
        <v>8.8872804999999904</v>
      </c>
      <c r="R27" t="s">
        <v>128</v>
      </c>
      <c r="S27" t="s">
        <v>128</v>
      </c>
      <c r="T27" t="s">
        <v>128</v>
      </c>
      <c r="U27">
        <v>9.9030339999999999</v>
      </c>
    </row>
    <row r="28" spans="1:21" x14ac:dyDescent="0.2">
      <c r="A28" s="1" t="s">
        <v>131</v>
      </c>
      <c r="B28" s="59"/>
      <c r="C28">
        <v>0.81184935999999996</v>
      </c>
      <c r="D28">
        <v>1.8525465999999999</v>
      </c>
      <c r="E28" t="s">
        <v>128</v>
      </c>
      <c r="F28" s="35">
        <v>3.2013645999999998</v>
      </c>
      <c r="G28" t="s">
        <v>128</v>
      </c>
      <c r="H28" s="34" t="s">
        <v>128</v>
      </c>
      <c r="I28" t="s">
        <v>128</v>
      </c>
      <c r="J28">
        <v>6.6369251</v>
      </c>
      <c r="K28" t="s">
        <v>128</v>
      </c>
      <c r="L28">
        <v>7.0711637999999999</v>
      </c>
      <c r="M28">
        <v>6.9325688999999997</v>
      </c>
      <c r="N28">
        <v>7.2857913999999999</v>
      </c>
      <c r="O28" t="s">
        <v>128</v>
      </c>
      <c r="P28">
        <v>8.7028029999999905</v>
      </c>
      <c r="Q28">
        <v>8.9797364999999996</v>
      </c>
      <c r="R28" t="s">
        <v>128</v>
      </c>
      <c r="S28" t="s">
        <v>128</v>
      </c>
      <c r="T28">
        <v>9.3375529000000004</v>
      </c>
      <c r="U28">
        <v>9.8085996000000009</v>
      </c>
    </row>
    <row r="29" spans="1:21" x14ac:dyDescent="0.2">
      <c r="A29" s="1" t="s">
        <v>132</v>
      </c>
      <c r="B29" s="59"/>
      <c r="C29">
        <v>0.81098722999999995</v>
      </c>
      <c r="D29">
        <v>1.6298691000000001</v>
      </c>
      <c r="E29" t="s">
        <v>128</v>
      </c>
      <c r="F29" s="35" t="s">
        <v>128</v>
      </c>
      <c r="G29" t="s">
        <v>128</v>
      </c>
      <c r="H29" s="34">
        <v>5.7410128</v>
      </c>
      <c r="I29" t="s">
        <v>128</v>
      </c>
      <c r="J29">
        <v>6.6247983000000001</v>
      </c>
      <c r="K29" t="s">
        <v>128</v>
      </c>
      <c r="L29" t="s">
        <v>128</v>
      </c>
      <c r="M29">
        <v>6.8592032999999999</v>
      </c>
      <c r="N29" t="s">
        <v>128</v>
      </c>
      <c r="O29">
        <v>7.4223930999999999</v>
      </c>
      <c r="P29">
        <v>8.4726424999999903</v>
      </c>
      <c r="Q29">
        <v>8.9463246999999999</v>
      </c>
      <c r="R29" t="s">
        <v>128</v>
      </c>
      <c r="S29" t="s">
        <v>128</v>
      </c>
      <c r="T29" t="s">
        <v>128</v>
      </c>
      <c r="U29">
        <v>9.7345819000000002</v>
      </c>
    </row>
    <row r="30" spans="1:21" x14ac:dyDescent="0.2">
      <c r="A30" s="1" t="s">
        <v>133</v>
      </c>
      <c r="B30" s="59"/>
      <c r="C30">
        <v>0.81122035000000003</v>
      </c>
      <c r="D30">
        <v>1.6335835000000001</v>
      </c>
      <c r="E30" t="s">
        <v>128</v>
      </c>
      <c r="F30" s="35" t="s">
        <v>128</v>
      </c>
      <c r="G30" t="s">
        <v>128</v>
      </c>
      <c r="H30" s="34" t="s">
        <v>128</v>
      </c>
      <c r="I30" t="s">
        <v>128</v>
      </c>
      <c r="J30">
        <v>6.4854532000000003</v>
      </c>
      <c r="K30" t="s">
        <v>128</v>
      </c>
      <c r="L30">
        <v>6.9246733999999996</v>
      </c>
      <c r="M30">
        <v>6.7217164</v>
      </c>
      <c r="N30">
        <v>7.1613198000000002</v>
      </c>
      <c r="O30" t="s">
        <v>128</v>
      </c>
      <c r="P30">
        <v>8.2404081999999903</v>
      </c>
      <c r="Q30">
        <v>8.7984442999999999</v>
      </c>
      <c r="R30">
        <v>8.9492995999999998</v>
      </c>
      <c r="S30" t="s">
        <v>128</v>
      </c>
      <c r="T30" t="s">
        <v>128</v>
      </c>
      <c r="U30">
        <v>9.8205539000000002</v>
      </c>
    </row>
    <row r="31" spans="1:21" x14ac:dyDescent="0.2">
      <c r="A31" s="1" t="s">
        <v>134</v>
      </c>
      <c r="B31" s="59"/>
      <c r="C31">
        <v>0.80713745999999997</v>
      </c>
      <c r="D31">
        <v>1.6327383</v>
      </c>
      <c r="E31" t="s">
        <v>128</v>
      </c>
      <c r="F31" s="35" t="s">
        <v>128</v>
      </c>
      <c r="G31" t="s">
        <v>128</v>
      </c>
      <c r="H31" s="34" t="s">
        <v>128</v>
      </c>
      <c r="I31" t="s">
        <v>128</v>
      </c>
      <c r="J31">
        <v>6.5809512999999997</v>
      </c>
      <c r="K31" t="s">
        <v>128</v>
      </c>
      <c r="L31" t="s">
        <v>128</v>
      </c>
      <c r="M31">
        <v>6.6664424000000002</v>
      </c>
      <c r="N31">
        <v>7.1464619999999996</v>
      </c>
      <c r="O31" t="s">
        <v>128</v>
      </c>
      <c r="P31">
        <v>8.2156839000000002</v>
      </c>
      <c r="Q31">
        <v>8.7079597999999905</v>
      </c>
      <c r="R31" t="s">
        <v>128</v>
      </c>
      <c r="S31" t="s">
        <v>128</v>
      </c>
      <c r="T31" t="s">
        <v>128</v>
      </c>
      <c r="U31">
        <v>9.9324267000000006</v>
      </c>
    </row>
    <row r="32" spans="1:21" x14ac:dyDescent="0.2">
      <c r="A32" s="1" t="s">
        <v>134</v>
      </c>
      <c r="B32" s="59"/>
      <c r="C32">
        <v>0.80713745999999997</v>
      </c>
      <c r="D32">
        <v>1.6327383</v>
      </c>
      <c r="E32" t="s">
        <v>128</v>
      </c>
      <c r="F32" s="35" t="s">
        <v>128</v>
      </c>
      <c r="G32" t="s">
        <v>128</v>
      </c>
      <c r="H32" s="34" t="s">
        <v>128</v>
      </c>
      <c r="I32" t="s">
        <v>128</v>
      </c>
      <c r="J32">
        <v>6.5809512999999997</v>
      </c>
      <c r="K32" t="s">
        <v>128</v>
      </c>
      <c r="L32" t="s">
        <v>128</v>
      </c>
      <c r="M32">
        <v>6.6664424000000002</v>
      </c>
      <c r="N32">
        <v>7.1464619999999996</v>
      </c>
      <c r="O32" t="s">
        <v>128</v>
      </c>
      <c r="P32">
        <v>8.2156839000000002</v>
      </c>
      <c r="Q32">
        <v>8.7079597999999905</v>
      </c>
      <c r="R32" t="s">
        <v>128</v>
      </c>
      <c r="S32" t="s">
        <v>128</v>
      </c>
      <c r="T32" t="s">
        <v>128</v>
      </c>
      <c r="U32">
        <v>9.9324267000000006</v>
      </c>
    </row>
    <row r="33" spans="1:21" x14ac:dyDescent="0.2">
      <c r="A33" s="1" t="s">
        <v>135</v>
      </c>
      <c r="B33" s="59"/>
      <c r="C33">
        <v>0.81066057999999996</v>
      </c>
      <c r="D33">
        <v>1.8945513</v>
      </c>
      <c r="E33" t="s">
        <v>128</v>
      </c>
      <c r="F33" s="35">
        <v>2.4234521</v>
      </c>
      <c r="G33" t="s">
        <v>128</v>
      </c>
      <c r="H33" s="34">
        <v>5.1702399999999997</v>
      </c>
      <c r="I33" t="s">
        <v>128</v>
      </c>
      <c r="J33">
        <v>7.0911730999999998</v>
      </c>
      <c r="K33" t="s">
        <v>128</v>
      </c>
      <c r="L33" t="s">
        <v>128</v>
      </c>
      <c r="M33" t="s">
        <v>128</v>
      </c>
      <c r="N33" t="s">
        <v>128</v>
      </c>
      <c r="O33" t="s">
        <v>128</v>
      </c>
      <c r="P33">
        <v>8.4234141000000005</v>
      </c>
      <c r="Q33" t="s">
        <v>128</v>
      </c>
      <c r="R33" t="s">
        <v>128</v>
      </c>
      <c r="S33" t="s">
        <v>128</v>
      </c>
      <c r="T33" t="s">
        <v>128</v>
      </c>
      <c r="U33">
        <v>9.7661011999999996</v>
      </c>
    </row>
    <row r="34" spans="1:21" x14ac:dyDescent="0.2">
      <c r="A34" s="1" t="s">
        <v>136</v>
      </c>
      <c r="B34" s="59"/>
      <c r="C34">
        <v>0.80986279999999999</v>
      </c>
      <c r="D34">
        <v>1.6278431</v>
      </c>
      <c r="E34" t="s">
        <v>128</v>
      </c>
      <c r="F34" s="35" t="s">
        <v>128</v>
      </c>
      <c r="G34" t="s">
        <v>128</v>
      </c>
      <c r="H34" s="34">
        <v>5.7403927000000001</v>
      </c>
      <c r="I34" t="s">
        <v>128</v>
      </c>
      <c r="J34">
        <v>6.8150291999999997</v>
      </c>
      <c r="K34">
        <v>6.8250770999999997</v>
      </c>
      <c r="L34" t="s">
        <v>128</v>
      </c>
      <c r="M34">
        <v>6.8150291999999997</v>
      </c>
      <c r="N34" t="s">
        <v>128</v>
      </c>
      <c r="O34">
        <v>7.4655145000000003</v>
      </c>
      <c r="P34">
        <v>8.8376865000000002</v>
      </c>
      <c r="Q34">
        <v>9.1312511999999995</v>
      </c>
      <c r="R34" t="s">
        <v>128</v>
      </c>
      <c r="S34" t="s">
        <v>128</v>
      </c>
      <c r="T34" t="s">
        <v>128</v>
      </c>
      <c r="U34">
        <v>9.7211621000000008</v>
      </c>
    </row>
    <row r="35" spans="1:21" ht="16" x14ac:dyDescent="0.2">
      <c r="A35" s="1" t="s">
        <v>137</v>
      </c>
      <c r="B35" s="58" t="s">
        <v>167</v>
      </c>
      <c r="C35">
        <v>0.84315273000000002</v>
      </c>
      <c r="D35">
        <v>1.5661212</v>
      </c>
      <c r="E35">
        <v>2.2367290999999998</v>
      </c>
      <c r="F35" s="35" t="s">
        <v>128</v>
      </c>
      <c r="G35">
        <v>5.4341473000000002</v>
      </c>
      <c r="H35" s="34">
        <v>5.6051732000000003</v>
      </c>
      <c r="I35">
        <v>6.3303102000000004</v>
      </c>
      <c r="J35">
        <v>6.6409558999999998</v>
      </c>
      <c r="K35">
        <v>6.6706766999999996</v>
      </c>
      <c r="L35">
        <v>7.0335783999999997</v>
      </c>
      <c r="M35">
        <v>6.7625612000000004</v>
      </c>
      <c r="N35">
        <v>7.2582059000000001</v>
      </c>
      <c r="O35">
        <v>7.1783064999999997</v>
      </c>
      <c r="P35">
        <v>7.9195412999999997</v>
      </c>
      <c r="Q35">
        <v>8.7335043999999904</v>
      </c>
      <c r="R35">
        <v>8.9684404000000004</v>
      </c>
      <c r="S35">
        <v>8.2962553999999997</v>
      </c>
      <c r="T35">
        <v>9.0833294000000002</v>
      </c>
      <c r="U35">
        <v>9.675675</v>
      </c>
    </row>
    <row r="36" spans="1:21" ht="16" x14ac:dyDescent="0.2">
      <c r="A36" s="1" t="s">
        <v>138</v>
      </c>
      <c r="B36" s="58" t="s">
        <v>167</v>
      </c>
      <c r="C36">
        <v>0.86695644999999999</v>
      </c>
      <c r="D36">
        <v>1.5307664999999999</v>
      </c>
      <c r="E36">
        <v>2.2161805000000001</v>
      </c>
      <c r="F36" s="35" t="s">
        <v>128</v>
      </c>
      <c r="G36">
        <v>5.4632506999999997</v>
      </c>
      <c r="H36" s="34">
        <v>5.6550326999999996</v>
      </c>
      <c r="I36">
        <v>6.3582155</v>
      </c>
      <c r="J36">
        <v>6.2853389000000002</v>
      </c>
      <c r="K36">
        <v>6.7427150999999999</v>
      </c>
      <c r="L36">
        <v>7.0660379999999998</v>
      </c>
      <c r="M36">
        <v>6.8129913999999996</v>
      </c>
      <c r="N36">
        <v>7.2924363999999997</v>
      </c>
      <c r="O36">
        <v>7.2732885999999999</v>
      </c>
      <c r="P36">
        <v>8.0353584999999903</v>
      </c>
      <c r="Q36">
        <v>8.7868118000000006</v>
      </c>
      <c r="R36">
        <v>9.0232062000000006</v>
      </c>
      <c r="S36">
        <v>8.3899728000000007</v>
      </c>
      <c r="T36">
        <v>9.1071054999999905</v>
      </c>
      <c r="U36">
        <v>9.7616779999999999</v>
      </c>
    </row>
    <row r="37" spans="1:21" ht="16" x14ac:dyDescent="0.2">
      <c r="A37" s="24" t="s">
        <v>139</v>
      </c>
      <c r="B37" s="58" t="s">
        <v>167</v>
      </c>
      <c r="C37" s="35">
        <v>0.86243230000000004</v>
      </c>
      <c r="D37" s="35">
        <v>1.5081716999999999</v>
      </c>
      <c r="E37" s="35">
        <v>2.2203751</v>
      </c>
      <c r="F37" s="35" t="s">
        <v>128</v>
      </c>
      <c r="G37" s="35">
        <v>5.4075166000000001</v>
      </c>
      <c r="H37" s="34">
        <v>5.6004754999999999</v>
      </c>
      <c r="I37" s="35">
        <v>6.2867896999999999</v>
      </c>
      <c r="J37" s="35">
        <v>6.2535940999999999</v>
      </c>
      <c r="K37" s="35">
        <v>6.7710678</v>
      </c>
      <c r="L37" s="35">
        <v>6.9923017999999999</v>
      </c>
      <c r="M37" s="35">
        <v>6.7410325999999996</v>
      </c>
      <c r="N37" s="35">
        <v>7.2412084999999999</v>
      </c>
      <c r="O37" s="35" t="s">
        <v>128</v>
      </c>
      <c r="P37" s="35">
        <v>7.9377640999999999</v>
      </c>
      <c r="Q37" s="35">
        <v>8.7292985000000005</v>
      </c>
      <c r="R37" s="35">
        <v>8.9401697999999996</v>
      </c>
      <c r="S37" s="35">
        <v>8.3100842999999998</v>
      </c>
      <c r="T37" s="35">
        <v>9.0300861999999995</v>
      </c>
      <c r="U37" s="35">
        <v>9.7109710000000007</v>
      </c>
    </row>
    <row r="38" spans="1:21" ht="16" x14ac:dyDescent="0.2">
      <c r="A38" s="1" t="s">
        <v>140</v>
      </c>
      <c r="B38" s="58" t="s">
        <v>168</v>
      </c>
      <c r="C38">
        <v>0.81539090000000003</v>
      </c>
      <c r="D38">
        <v>1.6169481000000001</v>
      </c>
      <c r="E38" t="s">
        <v>128</v>
      </c>
      <c r="F38" s="35" t="s">
        <v>128</v>
      </c>
      <c r="G38">
        <v>5.4214935999999998</v>
      </c>
      <c r="H38" s="34">
        <v>5.5929194999999998</v>
      </c>
      <c r="I38">
        <v>6.3186419000000003</v>
      </c>
      <c r="J38">
        <v>6.2438174999999996</v>
      </c>
      <c r="K38">
        <v>6.6805726999999999</v>
      </c>
      <c r="L38">
        <v>7.0231268</v>
      </c>
      <c r="M38">
        <v>6.7528535999999999</v>
      </c>
      <c r="N38">
        <v>7.2524001</v>
      </c>
      <c r="O38">
        <v>7.2328001999999998</v>
      </c>
      <c r="P38">
        <v>7.9174207000000001</v>
      </c>
      <c r="Q38">
        <v>8.7326881000000007</v>
      </c>
      <c r="R38">
        <v>8.9679053</v>
      </c>
      <c r="S38">
        <v>8.2950345999999904</v>
      </c>
      <c r="T38">
        <v>9.0657151999999996</v>
      </c>
      <c r="U38">
        <v>9.7437544000000003</v>
      </c>
    </row>
    <row r="39" spans="1:21" ht="16" x14ac:dyDescent="0.2">
      <c r="A39" s="1" t="s">
        <v>141</v>
      </c>
      <c r="B39" s="58" t="s">
        <v>168</v>
      </c>
      <c r="C39">
        <v>0.84038690999999999</v>
      </c>
      <c r="D39">
        <v>1.5516487000000001</v>
      </c>
      <c r="E39" t="s">
        <v>128</v>
      </c>
      <c r="F39" s="35" t="s">
        <v>128</v>
      </c>
      <c r="G39">
        <v>5.4681227000000003</v>
      </c>
      <c r="H39" s="34">
        <v>5.6587193999999998</v>
      </c>
      <c r="I39">
        <v>6.3584771</v>
      </c>
      <c r="J39">
        <v>6.2628798999999997</v>
      </c>
      <c r="K39">
        <v>6.7219955999999996</v>
      </c>
      <c r="L39">
        <v>7.0636726000000003</v>
      </c>
      <c r="M39">
        <v>6.7943245000000001</v>
      </c>
      <c r="N39">
        <v>7.2733732</v>
      </c>
      <c r="O39">
        <v>7.2528069000000004</v>
      </c>
      <c r="P39">
        <v>7.9602208000000001</v>
      </c>
      <c r="Q39">
        <v>8.7774236999999999</v>
      </c>
      <c r="R39">
        <v>8.9909035999999904</v>
      </c>
      <c r="S39">
        <v>8.2951642999999997</v>
      </c>
      <c r="T39">
        <v>9.1116671999999905</v>
      </c>
      <c r="U39">
        <v>9.6875818999999996</v>
      </c>
    </row>
    <row r="40" spans="1:21" ht="16" x14ac:dyDescent="0.2">
      <c r="A40" s="1" t="s">
        <v>142</v>
      </c>
      <c r="B40" s="58" t="s">
        <v>168</v>
      </c>
      <c r="C40">
        <v>0.84271638000000004</v>
      </c>
      <c r="D40">
        <v>1.5520219</v>
      </c>
      <c r="E40" t="s">
        <v>128</v>
      </c>
      <c r="F40" s="35" t="s">
        <v>128</v>
      </c>
      <c r="G40">
        <v>5.4144566999999997</v>
      </c>
      <c r="H40" s="34">
        <v>5.5855369000000001</v>
      </c>
      <c r="I40">
        <v>6.2876032000000004</v>
      </c>
      <c r="J40">
        <v>6.2336948000000003</v>
      </c>
      <c r="K40">
        <v>6.6478153000000004</v>
      </c>
      <c r="L40">
        <v>6.9931941000000002</v>
      </c>
      <c r="M40">
        <v>6.7404061000000004</v>
      </c>
      <c r="N40">
        <v>7.2398300999999998</v>
      </c>
      <c r="O40">
        <v>7.1984138</v>
      </c>
      <c r="P40">
        <v>7.9107047000000001</v>
      </c>
      <c r="Q40">
        <v>8.7273054999999999</v>
      </c>
      <c r="R40">
        <v>8.9396207000000008</v>
      </c>
      <c r="S40">
        <v>8.2889082999999903</v>
      </c>
      <c r="T40">
        <v>9.0586117000000002</v>
      </c>
      <c r="U40">
        <v>9.7020385000000005</v>
      </c>
    </row>
    <row r="41" spans="1:21" ht="16" x14ac:dyDescent="0.2">
      <c r="A41" s="1" t="s">
        <v>143</v>
      </c>
      <c r="B41" s="58" t="s">
        <v>169</v>
      </c>
      <c r="C41">
        <v>0.83285492999999999</v>
      </c>
      <c r="D41">
        <v>1.568065</v>
      </c>
      <c r="E41">
        <v>2.2820124000000002</v>
      </c>
      <c r="F41" s="35" t="s">
        <v>128</v>
      </c>
      <c r="G41">
        <v>5.5072384999999997</v>
      </c>
      <c r="H41" s="34">
        <v>5.6755123999999997</v>
      </c>
      <c r="I41">
        <v>6.3807285</v>
      </c>
      <c r="J41">
        <v>6.2614564000000001</v>
      </c>
      <c r="K41">
        <v>6.7593196999999998</v>
      </c>
      <c r="L41">
        <v>7.0794696999999998</v>
      </c>
      <c r="M41">
        <v>6.8109941999999997</v>
      </c>
      <c r="N41">
        <v>7.2847412</v>
      </c>
      <c r="O41">
        <v>7.2441123000000003</v>
      </c>
      <c r="P41">
        <v>7.9883677999999998</v>
      </c>
      <c r="Q41">
        <v>8.7796313999999995</v>
      </c>
      <c r="R41">
        <v>9.0147025999999997</v>
      </c>
      <c r="S41">
        <v>8.3033366999999902</v>
      </c>
      <c r="T41">
        <v>9.1153063000000003</v>
      </c>
      <c r="U41">
        <v>9.688898</v>
      </c>
    </row>
    <row r="42" spans="1:21" ht="16" x14ac:dyDescent="0.2">
      <c r="A42" s="1" t="s">
        <v>144</v>
      </c>
      <c r="B42" s="58" t="s">
        <v>169</v>
      </c>
      <c r="C42">
        <v>0.82013899999999995</v>
      </c>
      <c r="D42">
        <v>1.5759483000000001</v>
      </c>
      <c r="E42">
        <v>2.2767143000000001</v>
      </c>
      <c r="F42" s="35" t="s">
        <v>128</v>
      </c>
      <c r="G42">
        <v>5.4570306999999998</v>
      </c>
      <c r="H42" s="34">
        <v>5.6264086999999998</v>
      </c>
      <c r="I42">
        <v>6.3490582</v>
      </c>
      <c r="J42">
        <v>6.2534131999999998</v>
      </c>
      <c r="K42">
        <v>6.6900516999999997</v>
      </c>
      <c r="L42">
        <v>7.0498162000000004</v>
      </c>
      <c r="M42">
        <v>6.7820843999999996</v>
      </c>
      <c r="N42">
        <v>7.2579105000000004</v>
      </c>
      <c r="O42">
        <v>7.1977859000000004</v>
      </c>
      <c r="P42">
        <v>7.9379017000000003</v>
      </c>
      <c r="Q42">
        <v>8.7463610999999997</v>
      </c>
      <c r="R42">
        <v>8.9814197</v>
      </c>
      <c r="S42">
        <v>8.2914784000000008</v>
      </c>
      <c r="T42">
        <v>9.0909835999999995</v>
      </c>
      <c r="U42">
        <v>9.6869192000000002</v>
      </c>
    </row>
    <row r="43" spans="1:21" ht="16" x14ac:dyDescent="0.2">
      <c r="A43" s="1" t="s">
        <v>145</v>
      </c>
      <c r="B43" s="58" t="s">
        <v>169</v>
      </c>
      <c r="C43">
        <v>0.84291667999999997</v>
      </c>
      <c r="D43">
        <v>1.5459847</v>
      </c>
      <c r="E43">
        <v>2.2623777</v>
      </c>
      <c r="F43" s="35" t="s">
        <v>128</v>
      </c>
      <c r="G43">
        <v>5.4377129000000002</v>
      </c>
      <c r="H43" s="34">
        <v>5.6075973000000001</v>
      </c>
      <c r="I43">
        <v>6.3308551</v>
      </c>
      <c r="J43">
        <v>6.2562803999999996</v>
      </c>
      <c r="K43">
        <v>6.6711653000000002</v>
      </c>
      <c r="L43">
        <v>7.0304168000000002</v>
      </c>
      <c r="M43">
        <v>6.7610184000000002</v>
      </c>
      <c r="N43">
        <v>7.2562715999999998</v>
      </c>
      <c r="O43">
        <v>7.1941803000000002</v>
      </c>
      <c r="P43">
        <v>7.9295213000000002</v>
      </c>
      <c r="Q43">
        <v>8.7314931999999903</v>
      </c>
      <c r="R43">
        <v>8.9656874999999996</v>
      </c>
      <c r="S43">
        <v>8.3032500000000002</v>
      </c>
      <c r="T43">
        <v>9.0822970000000005</v>
      </c>
      <c r="U43">
        <v>9.7148926000000007</v>
      </c>
    </row>
    <row r="44" spans="1:21" ht="16" x14ac:dyDescent="0.2">
      <c r="A44" s="1" t="s">
        <v>53</v>
      </c>
      <c r="B44" s="58" t="s">
        <v>170</v>
      </c>
      <c r="C44" s="34">
        <v>0.92760553000000001</v>
      </c>
      <c r="D44">
        <v>1.4025607</v>
      </c>
      <c r="E44">
        <v>2.1987760000000001</v>
      </c>
      <c r="F44" s="35" t="s">
        <v>128</v>
      </c>
      <c r="G44">
        <v>5.4597189999999998</v>
      </c>
      <c r="H44" s="34">
        <v>5.6501403999999997</v>
      </c>
      <c r="I44">
        <v>6.3513545999999996</v>
      </c>
      <c r="J44">
        <v>6.2555550999999996</v>
      </c>
      <c r="K44">
        <v>6.7168583000000002</v>
      </c>
      <c r="L44">
        <v>7.0587894000000002</v>
      </c>
      <c r="M44">
        <v>6.7872246000000001</v>
      </c>
      <c r="N44">
        <v>7.2652193</v>
      </c>
      <c r="O44">
        <v>7.2275862000000002</v>
      </c>
      <c r="P44">
        <v>7.9756916000000002</v>
      </c>
      <c r="Q44">
        <v>8.7659947000000003</v>
      </c>
      <c r="R44">
        <v>9.0014494000000003</v>
      </c>
      <c r="S44">
        <v>8.3309999000000001</v>
      </c>
      <c r="T44">
        <v>9.0893549999999905</v>
      </c>
      <c r="U44">
        <v>9.7411340000000006</v>
      </c>
    </row>
    <row r="45" spans="1:21" ht="16" x14ac:dyDescent="0.2">
      <c r="A45" s="1" t="s">
        <v>54</v>
      </c>
      <c r="B45" s="58" t="s">
        <v>170</v>
      </c>
      <c r="C45">
        <v>0.84168082</v>
      </c>
      <c r="D45">
        <v>1.5535756999999999</v>
      </c>
      <c r="E45">
        <v>2.2447878999999999</v>
      </c>
      <c r="F45" s="35" t="s">
        <v>128</v>
      </c>
      <c r="G45">
        <v>5.4969453000000001</v>
      </c>
      <c r="H45" s="34">
        <v>5.6661213000000004</v>
      </c>
      <c r="I45">
        <v>6.3893687000000003</v>
      </c>
      <c r="J45">
        <v>6.2747942999999999</v>
      </c>
      <c r="K45">
        <v>6.7109038999999999</v>
      </c>
      <c r="L45">
        <v>7.0756265000000003</v>
      </c>
      <c r="M45">
        <v>6.8037346000000003</v>
      </c>
      <c r="N45">
        <v>7.2798065000000003</v>
      </c>
      <c r="O45">
        <v>7.2612981999999997</v>
      </c>
      <c r="P45">
        <v>7.9795623000000004</v>
      </c>
      <c r="Q45">
        <v>8.7678923999999903</v>
      </c>
      <c r="R45">
        <v>9.0236614999999905</v>
      </c>
      <c r="S45">
        <v>8.3114767000000001</v>
      </c>
      <c r="T45">
        <v>9.1237815999999903</v>
      </c>
      <c r="U45">
        <v>9.7116006000000006</v>
      </c>
    </row>
    <row r="46" spans="1:21" ht="16" x14ac:dyDescent="0.2">
      <c r="A46" s="1" t="s">
        <v>55</v>
      </c>
      <c r="B46" s="58" t="s">
        <v>170</v>
      </c>
      <c r="C46">
        <v>0.81553012999999996</v>
      </c>
      <c r="D46">
        <v>1.6170329999999999</v>
      </c>
      <c r="E46">
        <v>2.2948995999999999</v>
      </c>
      <c r="F46" s="35" t="s">
        <v>128</v>
      </c>
      <c r="G46">
        <v>5.4253453</v>
      </c>
      <c r="H46" s="34">
        <v>5.6183711000000001</v>
      </c>
      <c r="I46">
        <v>6.2988917000000004</v>
      </c>
      <c r="J46">
        <v>6.2448503999999998</v>
      </c>
      <c r="K46">
        <v>6.6611767000000004</v>
      </c>
      <c r="L46">
        <v>7.0045492999999999</v>
      </c>
      <c r="M46">
        <v>6.7536322000000002</v>
      </c>
      <c r="N46">
        <v>7.2470853000000002</v>
      </c>
      <c r="O46">
        <v>7.1903085000000004</v>
      </c>
      <c r="P46">
        <v>7.9080934999999997</v>
      </c>
      <c r="Q46">
        <v>8.7126172000000004</v>
      </c>
      <c r="R46">
        <v>8.9486323999999904</v>
      </c>
      <c r="S46">
        <v>8.3248239999999996</v>
      </c>
      <c r="T46">
        <v>9.0618169999999996</v>
      </c>
      <c r="U46">
        <v>9.7229872999999998</v>
      </c>
    </row>
    <row r="47" spans="1:21" ht="16" x14ac:dyDescent="0.2">
      <c r="A47" s="1" t="s">
        <v>56</v>
      </c>
      <c r="B47" s="58" t="s">
        <v>171</v>
      </c>
      <c r="C47">
        <v>0.86970190000000003</v>
      </c>
      <c r="D47">
        <v>1.5053226</v>
      </c>
      <c r="E47">
        <v>2.2211905999999999</v>
      </c>
      <c r="F47" s="35" t="s">
        <v>128</v>
      </c>
      <c r="G47">
        <v>5.4269214999999997</v>
      </c>
      <c r="H47" s="34">
        <v>5.5959390999999998</v>
      </c>
      <c r="I47">
        <v>6.3002573000000002</v>
      </c>
      <c r="J47">
        <v>6.2296431999999999</v>
      </c>
      <c r="K47">
        <v>6.7040797000000003</v>
      </c>
      <c r="L47">
        <v>7.0077673999999996</v>
      </c>
      <c r="M47">
        <v>6.7634857000000004</v>
      </c>
      <c r="N47">
        <v>7.2388612999999999</v>
      </c>
      <c r="O47">
        <v>7.2058118999999996</v>
      </c>
      <c r="P47">
        <v>7.9006007</v>
      </c>
      <c r="Q47">
        <v>8.7051186000000005</v>
      </c>
      <c r="R47">
        <v>8.9638603999999997</v>
      </c>
      <c r="S47">
        <v>8.2901667000000003</v>
      </c>
      <c r="T47">
        <v>9.0527618000000007</v>
      </c>
      <c r="U47">
        <v>9.7259446999999906</v>
      </c>
    </row>
    <row r="48" spans="1:21" ht="16" x14ac:dyDescent="0.2">
      <c r="A48" s="24" t="s">
        <v>57</v>
      </c>
      <c r="B48" s="58" t="s">
        <v>171</v>
      </c>
      <c r="C48" s="35">
        <v>0.89263742999999995</v>
      </c>
      <c r="D48" s="35">
        <v>1.4922477999999999</v>
      </c>
      <c r="E48" s="35">
        <v>2.2372157000000001</v>
      </c>
      <c r="F48" s="35" t="s">
        <v>128</v>
      </c>
      <c r="G48" s="35">
        <v>5.4778089000000003</v>
      </c>
      <c r="H48" s="34">
        <v>5.6651596</v>
      </c>
      <c r="I48" s="35">
        <v>6.3688694999999997</v>
      </c>
      <c r="J48" s="35">
        <v>6.2797410999999999</v>
      </c>
      <c r="K48" s="35">
        <v>6.7506522999999996</v>
      </c>
      <c r="L48" s="35">
        <v>7.0742086000000004</v>
      </c>
      <c r="M48" s="35">
        <v>6.8104917</v>
      </c>
      <c r="N48" s="35">
        <v>7.2846716999999996</v>
      </c>
      <c r="O48" s="35">
        <v>7.2846716999999996</v>
      </c>
      <c r="P48" s="35">
        <v>7.9864733000000001</v>
      </c>
      <c r="Q48" s="35">
        <v>8.7541367999999995</v>
      </c>
      <c r="R48" s="35">
        <v>9.0284017999999904</v>
      </c>
      <c r="S48" s="35">
        <v>8.3363750000000003</v>
      </c>
      <c r="T48" s="35">
        <v>9.1152116999999997</v>
      </c>
      <c r="U48" s="35">
        <v>9.7013911999999998</v>
      </c>
    </row>
    <row r="49" spans="1:21" ht="16" x14ac:dyDescent="0.2">
      <c r="A49" s="1" t="s">
        <v>58</v>
      </c>
      <c r="B49" s="58" t="s">
        <v>171</v>
      </c>
      <c r="C49">
        <v>0.83822202999999995</v>
      </c>
      <c r="D49">
        <v>1.5581881</v>
      </c>
      <c r="E49">
        <v>2.2574440999999998</v>
      </c>
      <c r="F49" s="35" t="s">
        <v>128</v>
      </c>
      <c r="G49">
        <v>5.4062688999999997</v>
      </c>
      <c r="H49" s="34">
        <v>5.5751802000000001</v>
      </c>
      <c r="I49">
        <v>6.2830462000000002</v>
      </c>
      <c r="J49">
        <v>6.2125843999999999</v>
      </c>
      <c r="K49">
        <v>6.6296543000000003</v>
      </c>
      <c r="L49">
        <v>6.9901688000000002</v>
      </c>
      <c r="M49">
        <v>6.7526387999999997</v>
      </c>
      <c r="N49">
        <v>7.2220629000000001</v>
      </c>
      <c r="O49">
        <v>7.1891318999999996</v>
      </c>
      <c r="P49">
        <v>7.8783189</v>
      </c>
      <c r="Q49">
        <v>8.6811951000000001</v>
      </c>
      <c r="R49">
        <v>8.9205059000000002</v>
      </c>
      <c r="S49">
        <v>8.2643141999999905</v>
      </c>
      <c r="T49">
        <v>9.0359613000000003</v>
      </c>
      <c r="U49">
        <v>9.6128722</v>
      </c>
    </row>
    <row r="50" spans="1:21" ht="16" x14ac:dyDescent="0.2">
      <c r="A50" s="1" t="s">
        <v>59</v>
      </c>
      <c r="B50" s="58" t="s">
        <v>172</v>
      </c>
      <c r="C50" s="34">
        <v>1.1552713999999999</v>
      </c>
      <c r="D50">
        <v>1.5706808999999999</v>
      </c>
      <c r="E50" t="s">
        <v>128</v>
      </c>
      <c r="F50" s="35" t="s">
        <v>128</v>
      </c>
      <c r="G50">
        <v>5.4557471</v>
      </c>
      <c r="H50" s="34">
        <v>5.6423956999999998</v>
      </c>
      <c r="I50">
        <v>6.3422700000000001</v>
      </c>
      <c r="J50">
        <v>6.2278001999999999</v>
      </c>
      <c r="K50">
        <v>6.6755886999999996</v>
      </c>
      <c r="L50">
        <v>7.0539196000000004</v>
      </c>
      <c r="M50">
        <v>6.7935903</v>
      </c>
      <c r="N50">
        <v>7.2567494999999997</v>
      </c>
      <c r="O50">
        <v>7.2165144000000003</v>
      </c>
      <c r="P50">
        <v>7.9332675999999998</v>
      </c>
      <c r="Q50">
        <v>8.7337083</v>
      </c>
      <c r="R50">
        <v>8.9875378000000001</v>
      </c>
      <c r="S50">
        <v>8.3070465999999996</v>
      </c>
      <c r="T50">
        <v>9.1250099000000002</v>
      </c>
      <c r="U50">
        <v>9.6492477999999995</v>
      </c>
    </row>
    <row r="51" spans="1:21" ht="16" x14ac:dyDescent="0.2">
      <c r="A51" s="1" t="s">
        <v>60</v>
      </c>
      <c r="B51" s="58" t="s">
        <v>172</v>
      </c>
      <c r="C51">
        <v>0.82775255000000003</v>
      </c>
      <c r="D51">
        <v>1.5748205</v>
      </c>
      <c r="E51" t="s">
        <v>128</v>
      </c>
      <c r="F51" s="35" t="s">
        <v>128</v>
      </c>
      <c r="G51">
        <v>5.4344695999999999</v>
      </c>
      <c r="H51" s="34">
        <v>5.5421272000000004</v>
      </c>
      <c r="I51">
        <v>6.3287573999999998</v>
      </c>
      <c r="J51">
        <v>6.2350494999999997</v>
      </c>
      <c r="K51">
        <v>6.6739926000000001</v>
      </c>
      <c r="L51">
        <v>7.0238880999999997</v>
      </c>
      <c r="M51">
        <v>6.7836774000000002</v>
      </c>
      <c r="N51">
        <v>7.2473846000000002</v>
      </c>
      <c r="O51">
        <v>7.2070869999999996</v>
      </c>
      <c r="P51">
        <v>7.9116698000000003</v>
      </c>
      <c r="Q51">
        <v>8.7275872000000003</v>
      </c>
      <c r="R51">
        <v>8.9611459999999905</v>
      </c>
      <c r="S51">
        <v>8.2925606999999903</v>
      </c>
      <c r="T51">
        <v>9.0742808000000004</v>
      </c>
      <c r="U51">
        <v>9.7342992000000006</v>
      </c>
    </row>
    <row r="52" spans="1:21" ht="16" x14ac:dyDescent="0.2">
      <c r="A52" s="1" t="s">
        <v>61</v>
      </c>
      <c r="B52" s="58" t="s">
        <v>172</v>
      </c>
      <c r="C52" s="34">
        <v>1.0083097000000001</v>
      </c>
      <c r="D52">
        <v>1.3359573</v>
      </c>
      <c r="E52" t="s">
        <v>128</v>
      </c>
      <c r="F52" s="35" t="s">
        <v>128</v>
      </c>
      <c r="G52">
        <v>5.3786160000000001</v>
      </c>
      <c r="H52" s="34">
        <v>5.5922165000000001</v>
      </c>
      <c r="I52">
        <v>6.2612598999999998</v>
      </c>
      <c r="J52">
        <v>6.2309663000000004</v>
      </c>
      <c r="K52">
        <v>6.6568157000000001</v>
      </c>
      <c r="L52">
        <v>6.9699929000000003</v>
      </c>
      <c r="M52">
        <v>6.7244650000000004</v>
      </c>
      <c r="N52">
        <v>7.2161910999999996</v>
      </c>
      <c r="O52">
        <v>7.1346356000000002</v>
      </c>
      <c r="P52">
        <v>7.9300489000000001</v>
      </c>
      <c r="Q52">
        <v>8.6982917999999998</v>
      </c>
      <c r="R52">
        <v>8.9346817999999999</v>
      </c>
      <c r="S52" t="s">
        <v>128</v>
      </c>
      <c r="T52">
        <v>9.0368414999999995</v>
      </c>
      <c r="U52">
        <v>9.7356846000000008</v>
      </c>
    </row>
    <row r="53" spans="1:21" ht="16" x14ac:dyDescent="0.2">
      <c r="A53" s="1" t="s">
        <v>62</v>
      </c>
      <c r="B53" s="58" t="s">
        <v>173</v>
      </c>
      <c r="C53">
        <v>0.81897956999999999</v>
      </c>
      <c r="D53">
        <v>1.5848138000000001</v>
      </c>
      <c r="E53">
        <v>2.2661387</v>
      </c>
      <c r="F53" s="35" t="s">
        <v>128</v>
      </c>
      <c r="G53">
        <v>5.4845879000000002</v>
      </c>
      <c r="H53" s="34">
        <v>5.6702367000000002</v>
      </c>
      <c r="I53">
        <v>6.3797652999999999</v>
      </c>
      <c r="J53">
        <v>6.2419370000000001</v>
      </c>
      <c r="K53">
        <v>6.7080320000000002</v>
      </c>
      <c r="L53">
        <v>7.0753814999999998</v>
      </c>
      <c r="M53">
        <v>6.8335080000000001</v>
      </c>
      <c r="N53">
        <v>7.2772509999999997</v>
      </c>
      <c r="O53">
        <v>7.2369285000000003</v>
      </c>
      <c r="P53">
        <v>7.9629317999999998</v>
      </c>
      <c r="Q53">
        <v>8.7493057000000007</v>
      </c>
      <c r="R53">
        <v>9.0156226999999998</v>
      </c>
      <c r="S53">
        <v>8.3528833999999996</v>
      </c>
      <c r="T53">
        <v>9.1140013999999905</v>
      </c>
      <c r="U53">
        <v>9.6645222999999998</v>
      </c>
    </row>
    <row r="54" spans="1:21" ht="16" x14ac:dyDescent="0.2">
      <c r="A54" s="1" t="s">
        <v>63</v>
      </c>
      <c r="B54" s="58" t="s">
        <v>173</v>
      </c>
      <c r="C54">
        <v>0.83141427999999995</v>
      </c>
      <c r="D54">
        <v>1.5728513</v>
      </c>
      <c r="E54">
        <v>2.2473299999999998</v>
      </c>
      <c r="F54" s="35" t="s">
        <v>128</v>
      </c>
      <c r="G54">
        <v>5.4810043000000004</v>
      </c>
      <c r="H54" s="34">
        <v>5.6471824000000002</v>
      </c>
      <c r="I54">
        <v>6.3510296000000004</v>
      </c>
      <c r="J54">
        <v>6.2362926999999999</v>
      </c>
      <c r="K54">
        <v>6.7511834000000004</v>
      </c>
      <c r="L54">
        <v>7.0603084000000003</v>
      </c>
      <c r="M54">
        <v>6.8266264000000003</v>
      </c>
      <c r="N54">
        <v>7.2610152000000001</v>
      </c>
      <c r="O54">
        <v>7.2208031999999998</v>
      </c>
      <c r="P54">
        <v>7.9388044999999998</v>
      </c>
      <c r="Q54">
        <v>8.7438739000000005</v>
      </c>
      <c r="R54">
        <v>8.9893848999999904</v>
      </c>
      <c r="S54">
        <v>8.2845542000000005</v>
      </c>
      <c r="T54">
        <v>9.0970987999999995</v>
      </c>
      <c r="U54">
        <v>9.6277846</v>
      </c>
    </row>
    <row r="55" spans="1:21" ht="16" x14ac:dyDescent="0.2">
      <c r="A55" s="1" t="s">
        <v>64</v>
      </c>
      <c r="B55" s="58" t="s">
        <v>173</v>
      </c>
      <c r="C55">
        <v>0.86287002999999995</v>
      </c>
      <c r="D55">
        <v>1.5085572</v>
      </c>
      <c r="E55">
        <v>2.2434755000000002</v>
      </c>
      <c r="F55" s="35" t="s">
        <v>128</v>
      </c>
      <c r="G55">
        <v>5.4541500000000003</v>
      </c>
      <c r="H55" s="34">
        <v>5.6202844000000001</v>
      </c>
      <c r="I55">
        <v>6.3216837000000003</v>
      </c>
      <c r="J55">
        <v>6.2276425</v>
      </c>
      <c r="K55">
        <v>6.6746207999999996</v>
      </c>
      <c r="L55">
        <v>7.0184392999999998</v>
      </c>
      <c r="M55">
        <v>6.7863929000000001</v>
      </c>
      <c r="N55">
        <v>7.2396026000000004</v>
      </c>
      <c r="O55">
        <v>7.1994530000000001</v>
      </c>
      <c r="P55">
        <v>7.9174439000000003</v>
      </c>
      <c r="Q55">
        <v>8.7009240000000005</v>
      </c>
      <c r="R55">
        <v>8.941535</v>
      </c>
      <c r="S55">
        <v>8.2631978999999998</v>
      </c>
      <c r="T55">
        <v>9.0556906000000001</v>
      </c>
      <c r="U55">
        <v>9.6306551000000002</v>
      </c>
    </row>
    <row r="56" spans="1:21" ht="16" x14ac:dyDescent="0.2">
      <c r="A56" s="1" t="s">
        <v>65</v>
      </c>
      <c r="B56" s="58" t="s">
        <v>174</v>
      </c>
      <c r="C56">
        <v>0.84287699999999999</v>
      </c>
      <c r="D56">
        <v>1.5625036999999999</v>
      </c>
      <c r="E56">
        <v>2.2606904999999999</v>
      </c>
      <c r="F56" s="35" t="s">
        <v>128</v>
      </c>
      <c r="G56">
        <v>5.5014250999999996</v>
      </c>
      <c r="H56" s="34">
        <v>5.6673406999999996</v>
      </c>
      <c r="I56">
        <v>6.3925941000000002</v>
      </c>
      <c r="J56">
        <v>6.2563428999999999</v>
      </c>
      <c r="K56">
        <v>6.7223148999999998</v>
      </c>
      <c r="L56">
        <v>7.0826042999999999</v>
      </c>
      <c r="M56">
        <v>6.8289702999999999</v>
      </c>
      <c r="N56">
        <v>7.2743884000000003</v>
      </c>
      <c r="O56">
        <v>7.2412676999999999</v>
      </c>
      <c r="P56">
        <v>7.9829065000000003</v>
      </c>
      <c r="Q56">
        <v>8.7689094999999995</v>
      </c>
      <c r="R56">
        <v>9.0147683000000001</v>
      </c>
      <c r="S56">
        <v>8.3302353</v>
      </c>
      <c r="T56">
        <v>9.1134011000000008</v>
      </c>
      <c r="U56">
        <v>9.6428641000000006</v>
      </c>
    </row>
    <row r="57" spans="1:21" ht="16" x14ac:dyDescent="0.2">
      <c r="A57" s="1" t="s">
        <v>66</v>
      </c>
      <c r="B57" s="58" t="s">
        <v>174</v>
      </c>
      <c r="C57">
        <v>0.85963056999999998</v>
      </c>
      <c r="D57">
        <v>1.5268887</v>
      </c>
      <c r="E57">
        <v>2.2406755</v>
      </c>
      <c r="F57" s="35" t="s">
        <v>128</v>
      </c>
      <c r="G57">
        <v>5.4516022</v>
      </c>
      <c r="H57" s="34">
        <v>5.6192073999999996</v>
      </c>
      <c r="I57">
        <v>6.3250691999999997</v>
      </c>
      <c r="J57">
        <v>6.2317843000000002</v>
      </c>
      <c r="K57">
        <v>6.6747648999999996</v>
      </c>
      <c r="L57">
        <v>7.0161043000000003</v>
      </c>
      <c r="M57">
        <v>6.7748223000000003</v>
      </c>
      <c r="N57">
        <v>7.2466403000000001</v>
      </c>
      <c r="O57">
        <v>7.1965238999999999</v>
      </c>
      <c r="P57">
        <v>7.9065984</v>
      </c>
      <c r="Q57">
        <v>8.6982014999999997</v>
      </c>
      <c r="R57">
        <v>8.9397122000000007</v>
      </c>
      <c r="S57">
        <v>8.2763231000000008</v>
      </c>
      <c r="T57">
        <v>9.0877759999999999</v>
      </c>
      <c r="U57">
        <v>9.6540531999999999</v>
      </c>
    </row>
    <row r="58" spans="1:21" ht="16" x14ac:dyDescent="0.2">
      <c r="A58" s="1" t="s">
        <v>67</v>
      </c>
      <c r="B58" s="58" t="s">
        <v>174</v>
      </c>
      <c r="C58">
        <v>0.83470803000000005</v>
      </c>
      <c r="D58">
        <v>1.5534971</v>
      </c>
      <c r="E58">
        <v>2.2431234999999998</v>
      </c>
      <c r="F58" s="35" t="s">
        <v>128</v>
      </c>
      <c r="G58">
        <v>5.4809168000000001</v>
      </c>
      <c r="H58" s="34">
        <v>5.6453009999999999</v>
      </c>
      <c r="I58">
        <v>6.3698211000000002</v>
      </c>
      <c r="J58">
        <v>6.2562677000000004</v>
      </c>
      <c r="K58">
        <v>6.7198270999999998</v>
      </c>
      <c r="L58">
        <v>7.0656936999999997</v>
      </c>
      <c r="M58">
        <v>6.8270657999999997</v>
      </c>
      <c r="N58">
        <v>7.2762338</v>
      </c>
      <c r="O58">
        <v>7.2428363999999998</v>
      </c>
      <c r="P58">
        <v>7.9567003999999999</v>
      </c>
      <c r="Q58">
        <v>8.7486844000000001</v>
      </c>
      <c r="R58">
        <v>8.9953161999999995</v>
      </c>
      <c r="S58">
        <v>8.3067519999999995</v>
      </c>
      <c r="T58">
        <v>9.0995778999999999</v>
      </c>
      <c r="U58">
        <v>9.6831720000000008</v>
      </c>
    </row>
    <row r="59" spans="1:21" x14ac:dyDescent="0.2">
      <c r="A59" s="1" t="s">
        <v>101</v>
      </c>
      <c r="B59" s="62"/>
      <c r="C59">
        <v>0.81635060000000004</v>
      </c>
      <c r="D59">
        <v>1.6276807</v>
      </c>
      <c r="E59">
        <v>2.2788282999999998</v>
      </c>
      <c r="F59" s="35">
        <v>2.7480752000000002</v>
      </c>
      <c r="G59">
        <v>5.4493574000000002</v>
      </c>
      <c r="H59" s="38">
        <v>5.7054182000000004</v>
      </c>
      <c r="I59" t="s">
        <v>128</v>
      </c>
      <c r="J59">
        <v>6.3112057000000004</v>
      </c>
      <c r="K59">
        <v>6.8538895999999996</v>
      </c>
      <c r="L59">
        <v>7.0673526999999998</v>
      </c>
      <c r="M59">
        <v>6.8671791000000004</v>
      </c>
      <c r="N59">
        <v>7.2834531</v>
      </c>
      <c r="O59" t="s">
        <v>128</v>
      </c>
      <c r="P59">
        <v>8.4615100999999999</v>
      </c>
      <c r="Q59">
        <v>8.8685282999999995</v>
      </c>
      <c r="R59" t="s">
        <v>128</v>
      </c>
      <c r="S59" t="s">
        <v>128</v>
      </c>
      <c r="T59" t="s">
        <v>128</v>
      </c>
      <c r="U59">
        <v>9.6333521999999903</v>
      </c>
    </row>
    <row r="60" spans="1:21" x14ac:dyDescent="0.2">
      <c r="A60" s="1" t="s">
        <v>102</v>
      </c>
      <c r="B60" s="62"/>
      <c r="C60" s="34">
        <v>1.1635803</v>
      </c>
      <c r="D60">
        <v>1.6132565000000001</v>
      </c>
      <c r="E60">
        <v>2.2963231</v>
      </c>
      <c r="F60" s="35">
        <v>2.7498722</v>
      </c>
      <c r="G60">
        <v>5.4553101000000002</v>
      </c>
      <c r="H60" s="38">
        <v>5.7176686999999999</v>
      </c>
      <c r="I60" t="s">
        <v>128</v>
      </c>
      <c r="J60">
        <v>6.3037482000000002</v>
      </c>
      <c r="K60">
        <v>6.8237781999999996</v>
      </c>
      <c r="L60">
        <v>7.0777596999999997</v>
      </c>
      <c r="M60">
        <v>6.8555590000000004</v>
      </c>
      <c r="N60">
        <v>7.3011270000000001</v>
      </c>
      <c r="O60" t="s">
        <v>128</v>
      </c>
      <c r="P60">
        <v>8.5746623999999905</v>
      </c>
      <c r="Q60">
        <v>8.9199140999999997</v>
      </c>
      <c r="R60" t="s">
        <v>128</v>
      </c>
      <c r="S60" t="s">
        <v>128</v>
      </c>
      <c r="T60" t="s">
        <v>128</v>
      </c>
      <c r="U60">
        <v>9.6956109999999995</v>
      </c>
    </row>
    <row r="61" spans="1:21" x14ac:dyDescent="0.2">
      <c r="A61" s="1" t="s">
        <v>103</v>
      </c>
      <c r="B61" s="62"/>
      <c r="C61">
        <v>0.81164575999999999</v>
      </c>
      <c r="D61">
        <v>1.6166526999999999</v>
      </c>
      <c r="E61" t="s">
        <v>128</v>
      </c>
      <c r="F61" s="35">
        <v>2.7473285999999999</v>
      </c>
      <c r="G61">
        <v>5.4570563999999999</v>
      </c>
      <c r="H61" s="38">
        <v>5.7059382000000003</v>
      </c>
      <c r="I61" t="s">
        <v>128</v>
      </c>
      <c r="J61" s="34">
        <v>6.7168982000000002</v>
      </c>
      <c r="K61">
        <v>6.7897870999999999</v>
      </c>
      <c r="L61">
        <v>7.0865685999999997</v>
      </c>
      <c r="M61">
        <v>6.8646241000000003</v>
      </c>
      <c r="N61">
        <v>7.2960941000000004</v>
      </c>
      <c r="O61" t="s">
        <v>128</v>
      </c>
      <c r="P61">
        <v>8.5316360000000007</v>
      </c>
      <c r="Q61">
        <v>8.9619122000000004</v>
      </c>
      <c r="R61" t="s">
        <v>128</v>
      </c>
      <c r="S61" t="s">
        <v>128</v>
      </c>
      <c r="T61" t="s">
        <v>128</v>
      </c>
      <c r="U61">
        <v>9.7798735000000008</v>
      </c>
    </row>
    <row r="62" spans="1:21" x14ac:dyDescent="0.2">
      <c r="A62" s="1" t="s">
        <v>104</v>
      </c>
      <c r="B62" s="62"/>
      <c r="C62">
        <v>0.80597595</v>
      </c>
      <c r="D62">
        <v>1.6140787999999999</v>
      </c>
      <c r="E62" t="s">
        <v>128</v>
      </c>
      <c r="F62" s="35">
        <v>2.7493067999999998</v>
      </c>
      <c r="G62">
        <v>5.4675155999999996</v>
      </c>
      <c r="H62" s="38">
        <v>5.7205912000000003</v>
      </c>
      <c r="I62" t="s">
        <v>128</v>
      </c>
      <c r="J62" s="34">
        <v>6.7729735</v>
      </c>
      <c r="K62" t="s">
        <v>128</v>
      </c>
      <c r="L62">
        <v>7.0815362999999998</v>
      </c>
      <c r="M62">
        <v>6.8593416999999999</v>
      </c>
      <c r="N62">
        <v>7.3150284000000001</v>
      </c>
      <c r="O62" t="s">
        <v>128</v>
      </c>
      <c r="P62">
        <v>7.3150284000000001</v>
      </c>
      <c r="Q62">
        <v>9.0030503</v>
      </c>
      <c r="R62" t="s">
        <v>128</v>
      </c>
      <c r="S62" t="s">
        <v>128</v>
      </c>
      <c r="T62" t="s">
        <v>128</v>
      </c>
      <c r="U62">
        <v>9.7916367999999903</v>
      </c>
    </row>
    <row r="63" spans="1:21" x14ac:dyDescent="0.2">
      <c r="A63" s="1" t="s">
        <v>105</v>
      </c>
      <c r="B63" s="62"/>
      <c r="C63">
        <v>0.80656804999999998</v>
      </c>
      <c r="D63">
        <v>1.6305707</v>
      </c>
      <c r="E63" t="s">
        <v>128</v>
      </c>
      <c r="F63" s="35">
        <v>2.7362614999999999</v>
      </c>
      <c r="G63">
        <v>5.4693809</v>
      </c>
      <c r="H63" s="38">
        <v>5.7027020999999998</v>
      </c>
      <c r="I63" t="s">
        <v>128</v>
      </c>
      <c r="J63" s="34">
        <v>6.8611110000000002</v>
      </c>
      <c r="K63" t="s">
        <v>128</v>
      </c>
      <c r="L63">
        <v>7.0836053999999997</v>
      </c>
      <c r="M63">
        <v>7.2029607999999996</v>
      </c>
      <c r="N63">
        <v>7.3181455</v>
      </c>
      <c r="O63" t="s">
        <v>128</v>
      </c>
      <c r="P63">
        <v>8.5604268000000001</v>
      </c>
      <c r="Q63">
        <v>9.0122113000000006</v>
      </c>
      <c r="R63" t="s">
        <v>128</v>
      </c>
      <c r="S63" t="s">
        <v>128</v>
      </c>
      <c r="T63" t="s">
        <v>128</v>
      </c>
      <c r="U63">
        <v>9.7676292999999905</v>
      </c>
    </row>
    <row r="64" spans="1:21" x14ac:dyDescent="0.2">
      <c r="A64" s="1" t="s">
        <v>106</v>
      </c>
      <c r="B64" s="62"/>
      <c r="C64">
        <v>0.80640582000000005</v>
      </c>
      <c r="D64">
        <v>1.62679</v>
      </c>
      <c r="E64" t="s">
        <v>128</v>
      </c>
      <c r="F64" s="35">
        <v>2.7355559</v>
      </c>
      <c r="G64">
        <v>5.4656294000000001</v>
      </c>
      <c r="H64" s="38">
        <v>5.7191963000000001</v>
      </c>
      <c r="I64" t="s">
        <v>128</v>
      </c>
      <c r="J64">
        <v>6.6022236999999997</v>
      </c>
      <c r="K64">
        <v>6.7842599000000003</v>
      </c>
      <c r="L64">
        <v>7.1020934000000002</v>
      </c>
      <c r="M64">
        <v>6.8371889000000001</v>
      </c>
      <c r="N64">
        <v>7.3163461999999999</v>
      </c>
      <c r="O64" t="s">
        <v>128</v>
      </c>
      <c r="P64">
        <v>8.9029603000000002</v>
      </c>
      <c r="Q64">
        <v>8.9887244000000006</v>
      </c>
      <c r="R64" t="s">
        <v>128</v>
      </c>
      <c r="S64" t="s">
        <v>128</v>
      </c>
      <c r="T64" t="s">
        <v>128</v>
      </c>
      <c r="U64">
        <v>9.8846331000000003</v>
      </c>
    </row>
    <row r="65" spans="1:21" x14ac:dyDescent="0.2">
      <c r="A65" s="1" t="s">
        <v>107</v>
      </c>
      <c r="B65" s="62"/>
      <c r="C65">
        <v>0.80891226000000005</v>
      </c>
      <c r="D65">
        <v>1.6333131999999999</v>
      </c>
      <c r="E65" t="s">
        <v>128</v>
      </c>
      <c r="F65" s="35">
        <v>2.7484432999999999</v>
      </c>
      <c r="G65">
        <v>5.4737292000000002</v>
      </c>
      <c r="H65" s="38">
        <v>5.7484628999999998</v>
      </c>
      <c r="I65" t="s">
        <v>128</v>
      </c>
      <c r="J65" s="34">
        <v>6.7364351999999998</v>
      </c>
      <c r="K65" t="s">
        <v>128</v>
      </c>
      <c r="L65">
        <v>7.1094181000000001</v>
      </c>
      <c r="M65">
        <v>6.8869135999999997</v>
      </c>
      <c r="N65">
        <v>7.3227146999999997</v>
      </c>
      <c r="O65" t="s">
        <v>128</v>
      </c>
      <c r="P65">
        <v>8.6691453000000003</v>
      </c>
      <c r="Q65">
        <v>9.0991111</v>
      </c>
      <c r="R65" t="s">
        <v>128</v>
      </c>
      <c r="S65" t="s">
        <v>128</v>
      </c>
      <c r="T65" t="s">
        <v>128</v>
      </c>
      <c r="U65">
        <v>9.7525215000000003</v>
      </c>
    </row>
    <row r="66" spans="1:21" x14ac:dyDescent="0.2">
      <c r="A66" s="1" t="s">
        <v>108</v>
      </c>
      <c r="B66" s="62"/>
      <c r="C66">
        <v>0.80571605999999996</v>
      </c>
      <c r="D66">
        <v>1.6288149000000001</v>
      </c>
      <c r="E66" t="s">
        <v>128</v>
      </c>
      <c r="F66" s="35">
        <v>2.7594262000000001</v>
      </c>
      <c r="G66">
        <v>5.4811747999999998</v>
      </c>
      <c r="H66" s="38">
        <v>5.7547414999999997</v>
      </c>
      <c r="I66" t="s">
        <v>128</v>
      </c>
      <c r="J66" s="34">
        <v>7.1461031000000004</v>
      </c>
      <c r="K66" t="s">
        <v>128</v>
      </c>
      <c r="L66">
        <v>7.0713036000000002</v>
      </c>
      <c r="M66">
        <v>6.9327316000000003</v>
      </c>
      <c r="N66">
        <v>7.3269251000000004</v>
      </c>
      <c r="O66" t="s">
        <v>128</v>
      </c>
      <c r="P66">
        <v>8.7193010999999903</v>
      </c>
      <c r="Q66">
        <v>9.0531614000000005</v>
      </c>
      <c r="R66" t="s">
        <v>128</v>
      </c>
      <c r="S66" t="s">
        <v>128</v>
      </c>
      <c r="T66" t="s">
        <v>128</v>
      </c>
      <c r="U66">
        <v>9.7408756000000007</v>
      </c>
    </row>
    <row r="67" spans="1:21" x14ac:dyDescent="0.2">
      <c r="A67" s="1" t="s">
        <v>112</v>
      </c>
      <c r="B67" s="62"/>
      <c r="C67">
        <v>0.81006798000000002</v>
      </c>
      <c r="D67">
        <v>1.6174710999999999</v>
      </c>
      <c r="E67">
        <v>2.2821435999999999</v>
      </c>
      <c r="F67" s="35">
        <v>2.4557072999999998</v>
      </c>
      <c r="G67" t="s">
        <v>128</v>
      </c>
      <c r="H67" s="38">
        <v>5.6780208999999999</v>
      </c>
      <c r="I67" t="s">
        <v>128</v>
      </c>
      <c r="J67">
        <v>6.6310957000000004</v>
      </c>
      <c r="K67">
        <v>6.7670741000000003</v>
      </c>
      <c r="L67" t="s">
        <v>128</v>
      </c>
      <c r="M67">
        <v>6.8439547999999997</v>
      </c>
      <c r="N67">
        <v>7.2815019999999997</v>
      </c>
      <c r="O67">
        <v>7.2604043000000003</v>
      </c>
      <c r="P67">
        <v>8.2656036999999998</v>
      </c>
      <c r="Q67">
        <v>8.8466810999999996</v>
      </c>
      <c r="R67" t="s">
        <v>128</v>
      </c>
      <c r="S67" t="s">
        <v>128</v>
      </c>
      <c r="T67" t="s">
        <v>128</v>
      </c>
      <c r="U67">
        <v>9.8544952000000006</v>
      </c>
    </row>
    <row r="68" spans="1:21" x14ac:dyDescent="0.2">
      <c r="A68" s="1" t="s">
        <v>113</v>
      </c>
      <c r="B68" s="62"/>
      <c r="C68" s="34">
        <v>1.1805844999999999</v>
      </c>
      <c r="D68">
        <v>1.6244438000000001</v>
      </c>
      <c r="E68">
        <v>2.2986350999999998</v>
      </c>
      <c r="F68" s="35">
        <v>2.495288</v>
      </c>
      <c r="G68" t="s">
        <v>128</v>
      </c>
      <c r="H68" s="38">
        <v>5.6844751000000002</v>
      </c>
      <c r="I68" t="s">
        <v>128</v>
      </c>
      <c r="J68" s="34">
        <v>6.7102224000000001</v>
      </c>
      <c r="K68">
        <v>6.7620095999999998</v>
      </c>
      <c r="L68">
        <v>7.0387098000000003</v>
      </c>
      <c r="M68">
        <v>6.8802982999999998</v>
      </c>
      <c r="N68">
        <v>7.2955873000000002</v>
      </c>
      <c r="O68">
        <v>7.2510146999999998</v>
      </c>
      <c r="P68">
        <v>8.3891591000000005</v>
      </c>
      <c r="Q68">
        <v>9.0136134000000006</v>
      </c>
      <c r="R68" t="s">
        <v>128</v>
      </c>
      <c r="S68" t="s">
        <v>128</v>
      </c>
      <c r="T68" t="s">
        <v>128</v>
      </c>
      <c r="U68">
        <v>9.7016503000000007</v>
      </c>
    </row>
    <row r="69" spans="1:21" x14ac:dyDescent="0.2">
      <c r="A69" s="1" t="s">
        <v>114</v>
      </c>
      <c r="B69" s="62"/>
      <c r="C69">
        <v>0.80613263000000002</v>
      </c>
      <c r="D69">
        <v>1.6300916000000001</v>
      </c>
      <c r="E69">
        <v>2.2888975</v>
      </c>
      <c r="F69" s="35">
        <v>2.4869257</v>
      </c>
      <c r="G69" t="s">
        <v>128</v>
      </c>
      <c r="H69" s="38">
        <v>5.6991084000000001</v>
      </c>
      <c r="I69" t="s">
        <v>128</v>
      </c>
      <c r="J69">
        <v>6.3404978999999999</v>
      </c>
      <c r="K69" t="s">
        <v>128</v>
      </c>
      <c r="L69">
        <v>7.0323535000000001</v>
      </c>
      <c r="M69">
        <v>6.8733190000000004</v>
      </c>
      <c r="N69">
        <v>7.3074057999999997</v>
      </c>
      <c r="O69">
        <v>7.2646166000000001</v>
      </c>
      <c r="P69">
        <v>8.4676604999999903</v>
      </c>
      <c r="Q69">
        <v>9.0029216000000005</v>
      </c>
      <c r="R69" t="s">
        <v>128</v>
      </c>
      <c r="S69" t="s">
        <v>128</v>
      </c>
      <c r="T69" t="s">
        <v>128</v>
      </c>
      <c r="U69">
        <v>9.8136911999999903</v>
      </c>
    </row>
    <row r="70" spans="1:21" x14ac:dyDescent="0.2">
      <c r="A70" s="1" t="s">
        <v>115</v>
      </c>
      <c r="B70" s="62"/>
      <c r="C70" s="34">
        <v>1.1772973</v>
      </c>
      <c r="D70">
        <v>1.6247024000000001</v>
      </c>
      <c r="E70">
        <v>2.2986187</v>
      </c>
      <c r="F70" s="35">
        <v>2.4950841000000001</v>
      </c>
      <c r="G70" t="s">
        <v>128</v>
      </c>
      <c r="H70" s="38">
        <v>5.6904960999999998</v>
      </c>
      <c r="I70" t="s">
        <v>128</v>
      </c>
      <c r="J70">
        <v>6.5911904000000003</v>
      </c>
      <c r="K70">
        <v>6.8563717999999998</v>
      </c>
      <c r="L70">
        <v>7.0502912999999996</v>
      </c>
      <c r="M70">
        <v>6.8911841000000003</v>
      </c>
      <c r="N70">
        <v>7.3047918000000003</v>
      </c>
      <c r="O70">
        <v>7.2617440999999996</v>
      </c>
      <c r="P70">
        <v>8.5021108000000005</v>
      </c>
      <c r="Q70">
        <v>8.9953616000000007</v>
      </c>
      <c r="R70" t="s">
        <v>128</v>
      </c>
      <c r="S70" t="s">
        <v>128</v>
      </c>
      <c r="T70" t="s">
        <v>128</v>
      </c>
      <c r="U70">
        <v>9.6698760000000004</v>
      </c>
    </row>
    <row r="71" spans="1:21" x14ac:dyDescent="0.2">
      <c r="A71" s="1" t="s">
        <v>116</v>
      </c>
      <c r="B71" s="62"/>
      <c r="C71">
        <v>0.81578724999999996</v>
      </c>
      <c r="D71">
        <v>1.6129131000000001</v>
      </c>
      <c r="E71">
        <v>2.2820942999999998</v>
      </c>
      <c r="F71" s="35">
        <v>2.5463843000000002</v>
      </c>
      <c r="G71" t="s">
        <v>128</v>
      </c>
      <c r="H71" s="38">
        <v>5.7038278</v>
      </c>
      <c r="I71" t="s">
        <v>128</v>
      </c>
      <c r="J71">
        <v>6.7984390000000001</v>
      </c>
      <c r="K71" t="s">
        <v>128</v>
      </c>
      <c r="L71">
        <v>7.0638186999999997</v>
      </c>
      <c r="M71">
        <v>6.8848530999999999</v>
      </c>
      <c r="N71">
        <v>7.2999609000000003</v>
      </c>
      <c r="O71">
        <v>7.2765900999999999</v>
      </c>
      <c r="P71">
        <v>8.4994236999999995</v>
      </c>
      <c r="Q71">
        <v>8.9928284999999999</v>
      </c>
      <c r="R71" t="s">
        <v>128</v>
      </c>
      <c r="S71" t="s">
        <v>128</v>
      </c>
      <c r="T71" t="s">
        <v>128</v>
      </c>
      <c r="U71">
        <v>9.9845971000000002</v>
      </c>
    </row>
    <row r="72" spans="1:21" x14ac:dyDescent="0.2">
      <c r="A72" s="1" t="s">
        <v>117</v>
      </c>
      <c r="B72" s="62"/>
      <c r="C72">
        <v>0.81075507999999996</v>
      </c>
      <c r="D72">
        <v>1.6249975000000001</v>
      </c>
      <c r="E72">
        <v>2.2762535000000002</v>
      </c>
      <c r="F72" s="35">
        <v>2.7436756999999998</v>
      </c>
      <c r="G72" t="s">
        <v>128</v>
      </c>
      <c r="H72" s="38">
        <v>5.7041120999999997</v>
      </c>
      <c r="I72" t="s">
        <v>128</v>
      </c>
      <c r="J72">
        <v>6.4985733999999997</v>
      </c>
      <c r="K72" t="s">
        <v>128</v>
      </c>
      <c r="L72">
        <v>7.0632529999999996</v>
      </c>
      <c r="M72">
        <v>7.2451746000000004</v>
      </c>
      <c r="N72">
        <v>7.2975702</v>
      </c>
      <c r="O72" t="s">
        <v>128</v>
      </c>
      <c r="P72">
        <v>8.6025573000000009</v>
      </c>
      <c r="Q72">
        <v>9.0338939000000007</v>
      </c>
      <c r="R72" t="s">
        <v>128</v>
      </c>
      <c r="S72" t="s">
        <v>128</v>
      </c>
      <c r="T72" t="s">
        <v>128</v>
      </c>
      <c r="U72">
        <v>9.8351217999999996</v>
      </c>
    </row>
    <row r="73" spans="1:21" x14ac:dyDescent="0.2">
      <c r="A73" s="1" t="s">
        <v>118</v>
      </c>
      <c r="B73" s="62"/>
      <c r="C73">
        <v>0.81225075999999996</v>
      </c>
      <c r="D73">
        <v>1.6235790000000001</v>
      </c>
      <c r="E73">
        <v>2.2843827000000001</v>
      </c>
      <c r="F73" s="35">
        <v>2.7258130999999999</v>
      </c>
      <c r="G73" t="s">
        <v>128</v>
      </c>
      <c r="H73" s="38">
        <v>5.6913349999999996</v>
      </c>
      <c r="I73" t="s">
        <v>128</v>
      </c>
      <c r="J73">
        <v>6.0416432999999996</v>
      </c>
      <c r="K73" t="s">
        <v>128</v>
      </c>
      <c r="L73">
        <v>7.0269344</v>
      </c>
      <c r="M73">
        <v>6.8047483</v>
      </c>
      <c r="N73">
        <v>7.3055911</v>
      </c>
      <c r="O73" t="s">
        <v>128</v>
      </c>
      <c r="P73">
        <v>8.5229619000000003</v>
      </c>
      <c r="Q73">
        <v>9.0521521000000007</v>
      </c>
      <c r="R73" t="s">
        <v>128</v>
      </c>
      <c r="S73" t="s">
        <v>128</v>
      </c>
      <c r="T73" t="s">
        <v>128</v>
      </c>
      <c r="U73">
        <v>9.8693738999999905</v>
      </c>
    </row>
    <row r="74" spans="1:21" x14ac:dyDescent="0.2">
      <c r="A74" s="1" t="s">
        <v>119</v>
      </c>
      <c r="B74" s="62"/>
      <c r="C74">
        <v>0.80547564999999999</v>
      </c>
      <c r="D74">
        <v>1.6184873</v>
      </c>
      <c r="E74">
        <v>2.2945909000000002</v>
      </c>
      <c r="F74" s="35" t="s">
        <v>128</v>
      </c>
      <c r="G74" t="s">
        <v>128</v>
      </c>
      <c r="H74" s="38">
        <v>5.7152826000000001</v>
      </c>
      <c r="I74" t="s">
        <v>128</v>
      </c>
      <c r="J74">
        <v>6.6160911999999996</v>
      </c>
      <c r="K74" t="s">
        <v>128</v>
      </c>
      <c r="L74">
        <v>7.1155065999999998</v>
      </c>
      <c r="M74">
        <v>7.2130143000000002</v>
      </c>
      <c r="N74">
        <v>7.3073490000000003</v>
      </c>
      <c r="O74" t="s">
        <v>128</v>
      </c>
      <c r="P74">
        <v>8.7629915</v>
      </c>
      <c r="Q74">
        <v>9.0553874000000008</v>
      </c>
      <c r="R74" t="s">
        <v>128</v>
      </c>
      <c r="S74" t="s">
        <v>128</v>
      </c>
      <c r="T74" t="s">
        <v>128</v>
      </c>
      <c r="U74">
        <v>9.6924872999999998</v>
      </c>
    </row>
    <row r="75" spans="1:21" x14ac:dyDescent="0.2">
      <c r="A75" s="1" t="s">
        <v>120</v>
      </c>
      <c r="B75" s="62"/>
      <c r="C75">
        <v>0.80958660000000005</v>
      </c>
      <c r="D75">
        <v>1.6188876000000001</v>
      </c>
      <c r="E75">
        <v>2.2822583000000001</v>
      </c>
      <c r="F75" s="35">
        <v>2.7708338000000001</v>
      </c>
      <c r="G75">
        <v>5.3827185999999996</v>
      </c>
      <c r="H75" s="38">
        <v>5.6519522999999996</v>
      </c>
      <c r="I75" t="s">
        <v>128</v>
      </c>
      <c r="J75" s="34">
        <v>7.0726656999999999</v>
      </c>
      <c r="K75">
        <v>6.6842683000000003</v>
      </c>
      <c r="L75" t="s">
        <v>128</v>
      </c>
      <c r="M75">
        <v>6.7888612000000004</v>
      </c>
      <c r="N75" t="s">
        <v>128</v>
      </c>
      <c r="O75">
        <v>7.2520958000000002</v>
      </c>
      <c r="P75">
        <v>8.4163485999999903</v>
      </c>
      <c r="Q75">
        <v>8.8857161999999903</v>
      </c>
      <c r="R75" t="s">
        <v>128</v>
      </c>
      <c r="S75" t="s">
        <v>128</v>
      </c>
      <c r="T75" t="s">
        <v>128</v>
      </c>
      <c r="U75">
        <v>9.8447473999999904</v>
      </c>
    </row>
    <row r="76" spans="1:21" x14ac:dyDescent="0.2">
      <c r="A76" s="1" t="s">
        <v>121</v>
      </c>
      <c r="B76" s="62"/>
      <c r="C76">
        <v>0.80975408000000004</v>
      </c>
      <c r="D76">
        <v>1.6034362</v>
      </c>
      <c r="E76">
        <v>2.2835211000000002</v>
      </c>
      <c r="F76" s="35">
        <v>2.7317347000000001</v>
      </c>
      <c r="G76">
        <v>5.3752525999999996</v>
      </c>
      <c r="H76" s="38">
        <v>5.6692777999999997</v>
      </c>
      <c r="I76" t="s">
        <v>128</v>
      </c>
      <c r="J76">
        <v>6.0581398000000002</v>
      </c>
      <c r="K76">
        <v>6.7178208000000001</v>
      </c>
      <c r="L76" t="s">
        <v>128</v>
      </c>
      <c r="M76">
        <v>6.8078889</v>
      </c>
      <c r="N76">
        <v>7.2646318000000001</v>
      </c>
      <c r="O76">
        <v>7.3720621</v>
      </c>
      <c r="P76">
        <v>8.3986532</v>
      </c>
      <c r="Q76">
        <v>9.2675538</v>
      </c>
      <c r="R76" t="s">
        <v>128</v>
      </c>
      <c r="S76" t="s">
        <v>128</v>
      </c>
      <c r="T76" t="s">
        <v>128</v>
      </c>
      <c r="U76">
        <v>9.8210624000000006</v>
      </c>
    </row>
    <row r="77" spans="1:21" x14ac:dyDescent="0.2">
      <c r="A77" s="1" t="s">
        <v>122</v>
      </c>
      <c r="B77" s="62"/>
      <c r="C77">
        <v>0.80686285000000002</v>
      </c>
      <c r="D77">
        <v>1.6150389000000001</v>
      </c>
      <c r="E77">
        <v>2.2233681999999999</v>
      </c>
      <c r="F77" s="35">
        <v>2.7093147000000002</v>
      </c>
      <c r="G77" t="s">
        <v>128</v>
      </c>
      <c r="H77" s="38">
        <v>5.6572138000000001</v>
      </c>
      <c r="I77" t="s">
        <v>128</v>
      </c>
      <c r="J77" s="34">
        <v>7.0019529</v>
      </c>
      <c r="K77">
        <v>6.7152691999999998</v>
      </c>
      <c r="L77" t="s">
        <v>128</v>
      </c>
      <c r="M77">
        <v>6.8109998000000003</v>
      </c>
      <c r="N77" t="s">
        <v>128</v>
      </c>
      <c r="O77" t="s">
        <v>128</v>
      </c>
      <c r="P77">
        <v>8.1007309000000003</v>
      </c>
      <c r="Q77">
        <v>9.1097117000000001</v>
      </c>
      <c r="R77" t="s">
        <v>128</v>
      </c>
      <c r="S77" t="s">
        <v>128</v>
      </c>
      <c r="T77" t="s">
        <v>128</v>
      </c>
      <c r="U77">
        <v>9.9946642000000008</v>
      </c>
    </row>
    <row r="78" spans="1:21" x14ac:dyDescent="0.2">
      <c r="A78" s="1" t="s">
        <v>123</v>
      </c>
      <c r="B78" s="62"/>
      <c r="C78">
        <v>0.80974747999999996</v>
      </c>
      <c r="D78">
        <v>1.6212337000000001</v>
      </c>
      <c r="E78">
        <v>2.2726753999999998</v>
      </c>
      <c r="F78" s="35">
        <v>2.7026142000000002</v>
      </c>
      <c r="G78" t="s">
        <v>128</v>
      </c>
      <c r="H78" s="38">
        <v>5.6716340000000001</v>
      </c>
      <c r="I78" t="s">
        <v>128</v>
      </c>
      <c r="J78" s="34">
        <v>6.7898513999999999</v>
      </c>
      <c r="K78">
        <v>6.7344955999999998</v>
      </c>
      <c r="L78" t="s">
        <v>128</v>
      </c>
      <c r="M78">
        <v>6.8108576000000003</v>
      </c>
      <c r="N78">
        <v>7.2694234</v>
      </c>
      <c r="O78" t="s">
        <v>128</v>
      </c>
      <c r="P78">
        <v>8.6862762999999905</v>
      </c>
      <c r="Q78">
        <v>8.9226436000000007</v>
      </c>
      <c r="R78" t="s">
        <v>128</v>
      </c>
      <c r="S78" t="s">
        <v>128</v>
      </c>
      <c r="T78" t="s">
        <v>128</v>
      </c>
      <c r="U78">
        <v>9.9849218000000004</v>
      </c>
    </row>
    <row r="79" spans="1:21" x14ac:dyDescent="0.2">
      <c r="A79" s="1" t="s">
        <v>124</v>
      </c>
      <c r="B79" s="62"/>
      <c r="C79">
        <v>0.80916220999999999</v>
      </c>
      <c r="D79">
        <v>1.6189924</v>
      </c>
      <c r="E79" t="s">
        <v>128</v>
      </c>
      <c r="F79" s="35">
        <v>2.6958079000000001</v>
      </c>
      <c r="G79" t="s">
        <v>128</v>
      </c>
      <c r="H79" s="38">
        <v>5.6825067999999996</v>
      </c>
      <c r="I79" t="s">
        <v>128</v>
      </c>
      <c r="J79">
        <v>6.6712439000000003</v>
      </c>
      <c r="K79">
        <v>6.7241998000000001</v>
      </c>
      <c r="L79" t="s">
        <v>128</v>
      </c>
      <c r="M79">
        <v>6.8219887000000003</v>
      </c>
      <c r="N79">
        <v>7.2796190000000003</v>
      </c>
      <c r="O79">
        <v>8.1178301000000008</v>
      </c>
      <c r="P79">
        <v>8.0088057999999904</v>
      </c>
      <c r="Q79">
        <v>8.9322161999999903</v>
      </c>
      <c r="R79" t="s">
        <v>128</v>
      </c>
      <c r="S79" t="s">
        <v>128</v>
      </c>
      <c r="T79" t="s">
        <v>128</v>
      </c>
      <c r="U79">
        <v>9.9355387000000004</v>
      </c>
    </row>
    <row r="80" spans="1:21" x14ac:dyDescent="0.2">
      <c r="A80" s="1" t="s">
        <v>125</v>
      </c>
      <c r="B80" s="62"/>
      <c r="C80">
        <v>0.80714207999999998</v>
      </c>
      <c r="D80">
        <v>1.6228138000000001</v>
      </c>
      <c r="E80" t="s">
        <v>128</v>
      </c>
      <c r="F80" s="35">
        <v>2.7014879999999999</v>
      </c>
      <c r="G80" t="s">
        <v>128</v>
      </c>
      <c r="H80" s="38">
        <v>5.6748054999999997</v>
      </c>
      <c r="I80" t="s">
        <v>128</v>
      </c>
      <c r="J80" s="34">
        <v>6.7682150999999999</v>
      </c>
      <c r="K80">
        <v>6.7150090999999996</v>
      </c>
      <c r="L80" t="s">
        <v>128</v>
      </c>
      <c r="M80">
        <v>6.8332790000000001</v>
      </c>
      <c r="N80" t="s">
        <v>128</v>
      </c>
      <c r="O80">
        <v>7.4197645999999997</v>
      </c>
      <c r="P80">
        <v>7.8484389999999999</v>
      </c>
      <c r="Q80">
        <v>9.0965264999999995</v>
      </c>
      <c r="R80" t="s">
        <v>128</v>
      </c>
      <c r="S80" t="s">
        <v>128</v>
      </c>
      <c r="T80" t="s">
        <v>128</v>
      </c>
      <c r="U80">
        <v>9.9182690000000004</v>
      </c>
    </row>
    <row r="81" spans="1:21" x14ac:dyDescent="0.2">
      <c r="A81" s="1" t="s">
        <v>126</v>
      </c>
      <c r="B81" s="62"/>
      <c r="C81">
        <v>0.81113060000000003</v>
      </c>
      <c r="D81">
        <v>1.6103502999999999</v>
      </c>
      <c r="E81" s="34">
        <v>2.804503</v>
      </c>
      <c r="F81" s="35">
        <v>2.7162285000000002</v>
      </c>
      <c r="G81" t="s">
        <v>128</v>
      </c>
      <c r="H81" s="38">
        <v>5.6873189999999996</v>
      </c>
      <c r="I81" t="s">
        <v>128</v>
      </c>
      <c r="J81">
        <v>6.5077781000000003</v>
      </c>
      <c r="K81">
        <v>6.7520867999999998</v>
      </c>
      <c r="L81" t="s">
        <v>128</v>
      </c>
      <c r="M81">
        <v>6.8262719000000001</v>
      </c>
      <c r="N81">
        <v>7.2872022000000003</v>
      </c>
      <c r="O81">
        <v>7.5213193</v>
      </c>
      <c r="P81">
        <v>7.6718454999999999</v>
      </c>
      <c r="Q81">
        <v>9.1227503999999904</v>
      </c>
      <c r="R81" t="s">
        <v>128</v>
      </c>
      <c r="S81" t="s">
        <v>128</v>
      </c>
      <c r="T81" t="s">
        <v>128</v>
      </c>
      <c r="U81">
        <v>9.8450707000000008</v>
      </c>
    </row>
    <row r="82" spans="1:21" x14ac:dyDescent="0.2">
      <c r="A82" s="1" t="s">
        <v>127</v>
      </c>
      <c r="B82" s="62"/>
      <c r="C82">
        <v>0.80775092000000004</v>
      </c>
      <c r="D82">
        <v>1.6233367999999999</v>
      </c>
      <c r="E82" t="s">
        <v>128</v>
      </c>
      <c r="F82" s="35">
        <v>2.7050212999999999</v>
      </c>
      <c r="G82" t="s">
        <v>128</v>
      </c>
      <c r="H82" s="38">
        <v>5.7032534000000004</v>
      </c>
      <c r="I82" t="s">
        <v>128</v>
      </c>
      <c r="J82">
        <v>6.2866473999999997</v>
      </c>
      <c r="K82">
        <v>6.7218612000000002</v>
      </c>
      <c r="L82" t="s">
        <v>128</v>
      </c>
      <c r="M82">
        <v>6.8383707999999999</v>
      </c>
      <c r="N82" t="s">
        <v>128</v>
      </c>
      <c r="O82">
        <v>7.3618693999999998</v>
      </c>
      <c r="P82">
        <v>8.6479963000000009</v>
      </c>
      <c r="Q82">
        <v>9.1460261999999997</v>
      </c>
      <c r="R82" t="s">
        <v>128</v>
      </c>
      <c r="S82" t="s">
        <v>128</v>
      </c>
      <c r="T82" t="s">
        <v>128</v>
      </c>
      <c r="U82">
        <v>9.8315362999999998</v>
      </c>
    </row>
    <row r="83" spans="1:21" x14ac:dyDescent="0.2">
      <c r="A83" s="1" t="s">
        <v>146</v>
      </c>
      <c r="B83" s="60" t="s">
        <v>175</v>
      </c>
      <c r="C83">
        <v>0.84058927999999999</v>
      </c>
      <c r="D83">
        <v>1.3899189000000001</v>
      </c>
      <c r="E83">
        <v>2.1289072999999998</v>
      </c>
      <c r="F83" s="35" t="s">
        <v>128</v>
      </c>
      <c r="G83">
        <v>5.4902538999999999</v>
      </c>
      <c r="H83" s="34">
        <v>6.5366491</v>
      </c>
      <c r="I83" t="s">
        <v>128</v>
      </c>
      <c r="J83" t="s">
        <v>128</v>
      </c>
      <c r="K83" t="s">
        <v>128</v>
      </c>
      <c r="L83" t="s">
        <v>128</v>
      </c>
      <c r="M83" t="s">
        <v>128</v>
      </c>
      <c r="N83" t="s">
        <v>128</v>
      </c>
      <c r="O83" t="s">
        <v>128</v>
      </c>
      <c r="P83">
        <v>7.7648117000000001</v>
      </c>
      <c r="Q83">
        <v>7.6595455000000001</v>
      </c>
      <c r="R83" t="s">
        <v>128</v>
      </c>
      <c r="S83" t="s">
        <v>128</v>
      </c>
      <c r="T83" t="s">
        <v>128</v>
      </c>
      <c r="U83">
        <v>9.6293241999999903</v>
      </c>
    </row>
    <row r="84" spans="1:21" x14ac:dyDescent="0.2">
      <c r="A84" s="1" t="s">
        <v>147</v>
      </c>
      <c r="B84" s="60" t="s">
        <v>176</v>
      </c>
      <c r="C84">
        <v>0.84248192</v>
      </c>
      <c r="D84">
        <v>1.3640767</v>
      </c>
      <c r="E84">
        <v>2.0797110999999999</v>
      </c>
      <c r="F84" s="35" t="s">
        <v>128</v>
      </c>
      <c r="G84">
        <v>5.5060219000000004</v>
      </c>
      <c r="H84" s="34" t="s">
        <v>128</v>
      </c>
      <c r="I84" t="s">
        <v>128</v>
      </c>
      <c r="J84">
        <v>6.6043310000000002</v>
      </c>
      <c r="K84" t="s">
        <v>128</v>
      </c>
      <c r="L84">
        <v>6.8472795</v>
      </c>
      <c r="M84" t="s">
        <v>128</v>
      </c>
      <c r="N84" t="s">
        <v>128</v>
      </c>
      <c r="O84" t="s">
        <v>128</v>
      </c>
      <c r="P84">
        <v>7.8365688000000002</v>
      </c>
      <c r="Q84">
        <v>8.5518181999999996</v>
      </c>
      <c r="R84" t="s">
        <v>128</v>
      </c>
      <c r="S84" t="s">
        <v>128</v>
      </c>
      <c r="T84" t="s">
        <v>128</v>
      </c>
      <c r="U84">
        <v>9.7170439000000002</v>
      </c>
    </row>
    <row r="85" spans="1:21" x14ac:dyDescent="0.2">
      <c r="A85" s="1" t="s">
        <v>148</v>
      </c>
      <c r="B85" s="60" t="s">
        <v>175</v>
      </c>
      <c r="C85">
        <v>0.88007886999999996</v>
      </c>
      <c r="D85">
        <v>1.3992899000000001</v>
      </c>
      <c r="E85">
        <v>2.1694308000000002</v>
      </c>
      <c r="F85" s="35" t="s">
        <v>128</v>
      </c>
      <c r="G85" t="s">
        <v>128</v>
      </c>
      <c r="H85" s="34" t="s">
        <v>128</v>
      </c>
      <c r="I85" t="s">
        <v>128</v>
      </c>
      <c r="J85">
        <v>6.417967</v>
      </c>
      <c r="K85" t="s">
        <v>128</v>
      </c>
      <c r="L85">
        <v>6.8591745</v>
      </c>
      <c r="M85" t="s">
        <v>128</v>
      </c>
      <c r="N85" t="s">
        <v>128</v>
      </c>
      <c r="O85" t="s">
        <v>128</v>
      </c>
      <c r="P85">
        <v>7.8296991</v>
      </c>
      <c r="Q85">
        <v>7.6406837999999997</v>
      </c>
      <c r="R85" t="s">
        <v>128</v>
      </c>
      <c r="S85" t="s">
        <v>128</v>
      </c>
      <c r="T85" t="s">
        <v>128</v>
      </c>
      <c r="U85">
        <v>9.8890209000000002</v>
      </c>
    </row>
    <row r="86" spans="1:21" x14ac:dyDescent="0.2">
      <c r="A86" s="1" t="s">
        <v>149</v>
      </c>
      <c r="B86" s="60" t="s">
        <v>177</v>
      </c>
      <c r="C86">
        <v>0.83791483</v>
      </c>
      <c r="D86">
        <v>1.4154800999999999</v>
      </c>
      <c r="E86" t="s">
        <v>128</v>
      </c>
      <c r="F86" s="35" t="s">
        <v>128</v>
      </c>
      <c r="G86">
        <v>5.4599216999999998</v>
      </c>
      <c r="H86" s="34" t="s">
        <v>128</v>
      </c>
      <c r="I86" t="s">
        <v>128</v>
      </c>
      <c r="J86" t="s">
        <v>128</v>
      </c>
      <c r="K86" t="s">
        <v>128</v>
      </c>
      <c r="L86" t="s">
        <v>128</v>
      </c>
      <c r="M86" t="s">
        <v>128</v>
      </c>
      <c r="N86" t="s">
        <v>128</v>
      </c>
      <c r="O86" t="s">
        <v>128</v>
      </c>
      <c r="P86">
        <v>7.9350531000000002</v>
      </c>
      <c r="Q86">
        <v>9.1382908999999906</v>
      </c>
      <c r="R86" t="s">
        <v>128</v>
      </c>
      <c r="S86" t="s">
        <v>128</v>
      </c>
      <c r="T86" t="s">
        <v>128</v>
      </c>
      <c r="U86">
        <v>9.8899752999999997</v>
      </c>
    </row>
    <row r="87" spans="1:21" x14ac:dyDescent="0.2">
      <c r="A87" s="1" t="s">
        <v>150</v>
      </c>
      <c r="B87" s="60" t="s">
        <v>177</v>
      </c>
      <c r="C87">
        <v>0.85221553000000005</v>
      </c>
      <c r="D87">
        <v>1.3500185</v>
      </c>
      <c r="E87" t="s">
        <v>128</v>
      </c>
      <c r="F87" s="35" t="s">
        <v>128</v>
      </c>
      <c r="G87">
        <v>5.5390429000000001</v>
      </c>
      <c r="H87" s="34" t="s">
        <v>128</v>
      </c>
      <c r="I87" t="s">
        <v>128</v>
      </c>
      <c r="J87">
        <v>6.1773907000000001</v>
      </c>
      <c r="K87" t="s">
        <v>128</v>
      </c>
      <c r="L87" t="s">
        <v>128</v>
      </c>
      <c r="M87" t="s">
        <v>128</v>
      </c>
      <c r="N87" t="s">
        <v>128</v>
      </c>
      <c r="O87" t="s">
        <v>128</v>
      </c>
      <c r="P87">
        <v>7.8203379999999996</v>
      </c>
      <c r="Q87">
        <v>7.6964262000000003</v>
      </c>
      <c r="R87" t="s">
        <v>128</v>
      </c>
      <c r="S87" t="s">
        <v>128</v>
      </c>
      <c r="T87" t="s">
        <v>128</v>
      </c>
      <c r="U87">
        <v>9.8439099999999904</v>
      </c>
    </row>
    <row r="88" spans="1:21" x14ac:dyDescent="0.2">
      <c r="A88" s="1" t="s">
        <v>151</v>
      </c>
      <c r="B88" s="60" t="s">
        <v>177</v>
      </c>
      <c r="C88">
        <v>0.84313355000000001</v>
      </c>
      <c r="D88">
        <v>1.5415042999999999</v>
      </c>
      <c r="E88" t="s">
        <v>128</v>
      </c>
      <c r="F88" s="35" t="s">
        <v>128</v>
      </c>
      <c r="G88">
        <v>5.5033903999999998</v>
      </c>
      <c r="H88" s="34" t="s">
        <v>128</v>
      </c>
      <c r="I88" t="s">
        <v>128</v>
      </c>
      <c r="J88" t="s">
        <v>128</v>
      </c>
      <c r="K88" t="s">
        <v>128</v>
      </c>
      <c r="L88" t="s">
        <v>128</v>
      </c>
      <c r="M88" t="s">
        <v>128</v>
      </c>
      <c r="N88" t="s">
        <v>128</v>
      </c>
      <c r="O88" t="s">
        <v>128</v>
      </c>
      <c r="P88">
        <v>7.8196246</v>
      </c>
      <c r="Q88">
        <v>7.6953943000000002</v>
      </c>
      <c r="R88" t="s">
        <v>128</v>
      </c>
      <c r="S88" t="s">
        <v>128</v>
      </c>
      <c r="T88" t="s">
        <v>128</v>
      </c>
      <c r="U88">
        <v>9.8097174999999996</v>
      </c>
    </row>
    <row r="89" spans="1:21" x14ac:dyDescent="0.2">
      <c r="A89" s="1" t="s">
        <v>152</v>
      </c>
      <c r="B89" s="60" t="s">
        <v>161</v>
      </c>
      <c r="C89">
        <v>0.83605012000000001</v>
      </c>
      <c r="D89">
        <v>1.4163022999999999</v>
      </c>
      <c r="E89">
        <v>2.1318535999999999</v>
      </c>
      <c r="F89" s="35" t="s">
        <v>128</v>
      </c>
      <c r="G89">
        <v>5.4599149000000002</v>
      </c>
      <c r="H89" s="34" t="s">
        <v>128</v>
      </c>
      <c r="I89" t="s">
        <v>128</v>
      </c>
      <c r="J89">
        <v>6.1808724000000002</v>
      </c>
      <c r="K89" t="s">
        <v>128</v>
      </c>
      <c r="L89" t="s">
        <v>128</v>
      </c>
      <c r="M89" t="s">
        <v>128</v>
      </c>
      <c r="N89" t="s">
        <v>128</v>
      </c>
      <c r="O89" t="s">
        <v>128</v>
      </c>
      <c r="P89">
        <v>8.1108764000000004</v>
      </c>
      <c r="Q89">
        <v>8.5960064000000003</v>
      </c>
      <c r="R89" t="s">
        <v>128</v>
      </c>
      <c r="S89" t="s">
        <v>128</v>
      </c>
      <c r="T89" t="s">
        <v>128</v>
      </c>
      <c r="U89">
        <v>9.8010775999999904</v>
      </c>
    </row>
    <row r="90" spans="1:21" x14ac:dyDescent="0.2">
      <c r="A90" s="1" t="s">
        <v>153</v>
      </c>
      <c r="B90" s="60" t="s">
        <v>161</v>
      </c>
      <c r="C90">
        <v>0.84629977000000001</v>
      </c>
      <c r="D90">
        <v>1.3977046</v>
      </c>
      <c r="E90">
        <v>2.0691896000000001</v>
      </c>
      <c r="F90" s="35" t="s">
        <v>128</v>
      </c>
      <c r="G90">
        <v>5.5137001000000003</v>
      </c>
      <c r="H90" s="34" t="s">
        <v>128</v>
      </c>
      <c r="I90" t="s">
        <v>128</v>
      </c>
      <c r="J90">
        <v>6.1728560999999997</v>
      </c>
      <c r="K90" t="s">
        <v>128</v>
      </c>
      <c r="L90">
        <v>7.9998376999999996</v>
      </c>
      <c r="M90" t="s">
        <v>128</v>
      </c>
      <c r="N90" t="s">
        <v>128</v>
      </c>
      <c r="O90" t="s">
        <v>128</v>
      </c>
      <c r="P90">
        <v>7.6788230999999998</v>
      </c>
      <c r="Q90" t="s">
        <v>128</v>
      </c>
      <c r="R90" t="s">
        <v>128</v>
      </c>
      <c r="S90" t="s">
        <v>128</v>
      </c>
      <c r="T90" t="s">
        <v>128</v>
      </c>
      <c r="U90">
        <v>9.7548715999999995</v>
      </c>
    </row>
    <row r="91" spans="1:21" x14ac:dyDescent="0.2">
      <c r="A91" s="1" t="s">
        <v>154</v>
      </c>
      <c r="B91" s="60" t="s">
        <v>161</v>
      </c>
      <c r="C91">
        <v>0.83502374000000001</v>
      </c>
      <c r="D91">
        <v>1.4227639000000001</v>
      </c>
      <c r="E91">
        <v>2.1257234999999999</v>
      </c>
      <c r="F91" s="35" t="s">
        <v>128</v>
      </c>
      <c r="G91">
        <v>5.4510078000000002</v>
      </c>
      <c r="H91" s="34">
        <v>6.4275053</v>
      </c>
      <c r="I91" t="s">
        <v>128</v>
      </c>
      <c r="J91">
        <v>6.1700631000000001</v>
      </c>
      <c r="K91" t="s">
        <v>128</v>
      </c>
      <c r="L91">
        <v>6.9351269999999996</v>
      </c>
      <c r="M91">
        <v>7.8339791999999999</v>
      </c>
      <c r="N91" t="s">
        <v>128</v>
      </c>
      <c r="O91">
        <v>7.1149883999999997</v>
      </c>
      <c r="P91">
        <v>8.1627250999999905</v>
      </c>
      <c r="Q91">
        <v>8.6316386000000005</v>
      </c>
      <c r="R91">
        <v>9.4962724999999999</v>
      </c>
      <c r="S91" t="s">
        <v>128</v>
      </c>
      <c r="T91" t="s">
        <v>128</v>
      </c>
      <c r="U91">
        <v>9.7774579999999904</v>
      </c>
    </row>
    <row r="92" spans="1:21" x14ac:dyDescent="0.2">
      <c r="A92" s="1" t="s">
        <v>77</v>
      </c>
      <c r="B92" s="60" t="s">
        <v>162</v>
      </c>
      <c r="C92">
        <v>0.87847001000000002</v>
      </c>
      <c r="D92">
        <v>1.2444156</v>
      </c>
      <c r="E92">
        <v>1.8533717000000001</v>
      </c>
      <c r="F92" s="35" t="s">
        <v>128</v>
      </c>
      <c r="G92">
        <v>5.6176050999999996</v>
      </c>
      <c r="H92" s="34" t="s">
        <v>128</v>
      </c>
      <c r="I92" t="s">
        <v>128</v>
      </c>
      <c r="J92" t="s">
        <v>128</v>
      </c>
      <c r="K92" t="s">
        <v>128</v>
      </c>
      <c r="L92" t="s">
        <v>128</v>
      </c>
      <c r="M92" t="s">
        <v>128</v>
      </c>
      <c r="N92" t="s">
        <v>128</v>
      </c>
      <c r="O92" t="s">
        <v>128</v>
      </c>
      <c r="P92">
        <v>7.9408813</v>
      </c>
      <c r="Q92">
        <v>7.6961059000000001</v>
      </c>
      <c r="R92" t="s">
        <v>128</v>
      </c>
      <c r="S92" t="s">
        <v>128</v>
      </c>
      <c r="T92" t="s">
        <v>128</v>
      </c>
      <c r="U92">
        <v>9.4952664999999996</v>
      </c>
    </row>
    <row r="93" spans="1:21" x14ac:dyDescent="0.2">
      <c r="A93" s="1" t="s">
        <v>78</v>
      </c>
      <c r="B93" s="60" t="s">
        <v>162</v>
      </c>
      <c r="C93">
        <v>0.85260621999999997</v>
      </c>
      <c r="D93">
        <v>1.3313489000000001</v>
      </c>
      <c r="E93">
        <v>2.0551876999999998</v>
      </c>
      <c r="F93" s="35" t="s">
        <v>128</v>
      </c>
      <c r="G93">
        <v>5.5349063999999997</v>
      </c>
      <c r="H93" s="34" t="s">
        <v>128</v>
      </c>
      <c r="I93" t="s">
        <v>128</v>
      </c>
      <c r="J93" t="s">
        <v>128</v>
      </c>
      <c r="K93" t="s">
        <v>128</v>
      </c>
      <c r="L93">
        <v>6.9036032000000001</v>
      </c>
      <c r="M93" t="s">
        <v>128</v>
      </c>
      <c r="N93" t="s">
        <v>128</v>
      </c>
      <c r="O93" t="s">
        <v>128</v>
      </c>
      <c r="P93">
        <v>7.865545</v>
      </c>
      <c r="Q93">
        <v>9.5153859999999995</v>
      </c>
      <c r="R93" t="s">
        <v>128</v>
      </c>
      <c r="S93" t="s">
        <v>128</v>
      </c>
      <c r="T93" t="s">
        <v>128</v>
      </c>
      <c r="U93">
        <v>9.8149317000000007</v>
      </c>
    </row>
    <row r="94" spans="1:21" x14ac:dyDescent="0.2">
      <c r="A94" s="1" t="s">
        <v>79</v>
      </c>
      <c r="B94" s="60" t="s">
        <v>162</v>
      </c>
      <c r="C94">
        <v>0.84390041000000005</v>
      </c>
      <c r="D94">
        <v>1.3937862999999999</v>
      </c>
      <c r="E94">
        <v>2.0733402000000001</v>
      </c>
      <c r="F94" s="35" t="s">
        <v>128</v>
      </c>
      <c r="G94">
        <v>5.4934968</v>
      </c>
      <c r="H94" s="34">
        <v>5.5139132000000002</v>
      </c>
      <c r="I94" t="s">
        <v>128</v>
      </c>
      <c r="J94" t="s">
        <v>128</v>
      </c>
      <c r="K94" t="s">
        <v>128</v>
      </c>
      <c r="L94">
        <v>6.8743292</v>
      </c>
      <c r="M94">
        <v>7.7808938000000003</v>
      </c>
      <c r="N94" t="s">
        <v>128</v>
      </c>
      <c r="O94" t="s">
        <v>128</v>
      </c>
      <c r="P94">
        <v>8.2355763999999905</v>
      </c>
      <c r="Q94">
        <v>9.0455813999999997</v>
      </c>
      <c r="R94" t="s">
        <v>128</v>
      </c>
      <c r="S94" t="s">
        <v>128</v>
      </c>
      <c r="T94" t="s">
        <v>128</v>
      </c>
      <c r="U94">
        <v>9.8953214000000003</v>
      </c>
    </row>
    <row r="95" spans="1:21" x14ac:dyDescent="0.2">
      <c r="A95" s="1" t="s">
        <v>80</v>
      </c>
      <c r="B95" s="60" t="s">
        <v>163</v>
      </c>
      <c r="C95">
        <v>0.86839180000000005</v>
      </c>
      <c r="D95">
        <v>1.2534723999999999</v>
      </c>
      <c r="E95">
        <v>2.0172652000000002</v>
      </c>
      <c r="F95" s="35" t="s">
        <v>128</v>
      </c>
      <c r="G95">
        <v>5.6421123</v>
      </c>
      <c r="H95" s="34">
        <v>5.7246760999999999</v>
      </c>
      <c r="I95" t="s">
        <v>128</v>
      </c>
      <c r="J95">
        <v>6.2017895000000003</v>
      </c>
      <c r="K95" t="s">
        <v>128</v>
      </c>
      <c r="L95">
        <v>5.5152669000000003</v>
      </c>
      <c r="M95" t="s">
        <v>128</v>
      </c>
      <c r="N95" t="s">
        <v>128</v>
      </c>
      <c r="O95" t="s">
        <v>128</v>
      </c>
      <c r="P95">
        <v>8.1315100000000005</v>
      </c>
      <c r="Q95">
        <v>8.7876995000000004</v>
      </c>
      <c r="R95" t="s">
        <v>128</v>
      </c>
      <c r="S95" t="s">
        <v>128</v>
      </c>
      <c r="T95" t="s">
        <v>128</v>
      </c>
      <c r="U95">
        <v>9.7111537999999999</v>
      </c>
    </row>
    <row r="96" spans="1:21" x14ac:dyDescent="0.2">
      <c r="A96" s="1" t="s">
        <v>81</v>
      </c>
      <c r="B96" s="60" t="s">
        <v>163</v>
      </c>
      <c r="C96">
        <v>0.84833457000000001</v>
      </c>
      <c r="D96">
        <v>1.3368313000000001</v>
      </c>
      <c r="E96">
        <v>2.0626996000000002</v>
      </c>
      <c r="F96" s="35" t="s">
        <v>128</v>
      </c>
      <c r="G96">
        <v>5.5868802000000004</v>
      </c>
      <c r="H96" s="34">
        <v>5.5868802000000004</v>
      </c>
      <c r="I96" t="s">
        <v>128</v>
      </c>
      <c r="J96">
        <v>6.1870260000000004</v>
      </c>
      <c r="K96" t="s">
        <v>128</v>
      </c>
      <c r="L96">
        <v>6.8318675999999998</v>
      </c>
      <c r="M96">
        <v>7.8845105999999996</v>
      </c>
      <c r="N96" t="s">
        <v>128</v>
      </c>
      <c r="O96" t="s">
        <v>128</v>
      </c>
      <c r="P96">
        <v>7.0932700999999998</v>
      </c>
      <c r="Q96">
        <v>8.0639345999999996</v>
      </c>
      <c r="R96" t="s">
        <v>128</v>
      </c>
      <c r="S96" t="s">
        <v>128</v>
      </c>
      <c r="T96" t="s">
        <v>128</v>
      </c>
      <c r="U96">
        <v>9.6956735999999903</v>
      </c>
    </row>
    <row r="97" spans="1:21" x14ac:dyDescent="0.2">
      <c r="A97" s="1" t="s">
        <v>82</v>
      </c>
      <c r="B97" s="60" t="s">
        <v>163</v>
      </c>
      <c r="C97">
        <v>0.84825114999999995</v>
      </c>
      <c r="D97">
        <v>1.3654624</v>
      </c>
      <c r="E97">
        <v>2.0727934000000001</v>
      </c>
      <c r="F97" s="35" t="s">
        <v>128</v>
      </c>
      <c r="G97">
        <v>5.5049203000000002</v>
      </c>
      <c r="H97" s="34">
        <v>5.4847703000000001</v>
      </c>
      <c r="I97" t="s">
        <v>128</v>
      </c>
      <c r="J97">
        <v>6.1814720000000003</v>
      </c>
      <c r="K97" t="s">
        <v>128</v>
      </c>
      <c r="L97" t="s">
        <v>128</v>
      </c>
      <c r="M97">
        <v>7.7631009000000004</v>
      </c>
      <c r="N97" t="s">
        <v>128</v>
      </c>
      <c r="O97" t="s">
        <v>128</v>
      </c>
      <c r="P97">
        <v>7.9743766999999997</v>
      </c>
      <c r="Q97">
        <v>8.5940308000000005</v>
      </c>
      <c r="R97" t="s">
        <v>128</v>
      </c>
      <c r="S97" t="s">
        <v>128</v>
      </c>
      <c r="T97" t="s">
        <v>128</v>
      </c>
      <c r="U97">
        <v>9.7170816000000002</v>
      </c>
    </row>
    <row r="98" spans="1:21" x14ac:dyDescent="0.2">
      <c r="A98" s="1" t="s">
        <v>83</v>
      </c>
      <c r="B98" s="60" t="s">
        <v>164</v>
      </c>
      <c r="C98">
        <v>0.83851122</v>
      </c>
      <c r="D98">
        <v>1.647402</v>
      </c>
      <c r="E98" t="s">
        <v>128</v>
      </c>
      <c r="F98" s="35" t="s">
        <v>128</v>
      </c>
      <c r="G98">
        <v>5.5356947999999999</v>
      </c>
      <c r="H98" s="34">
        <v>5.4947717999999997</v>
      </c>
      <c r="I98" t="s">
        <v>128</v>
      </c>
      <c r="J98">
        <v>6.1740195</v>
      </c>
      <c r="K98" t="s">
        <v>128</v>
      </c>
      <c r="L98" t="s">
        <v>128</v>
      </c>
      <c r="M98">
        <v>7.8007337999999997</v>
      </c>
      <c r="N98" t="s">
        <v>128</v>
      </c>
      <c r="O98" t="s">
        <v>128</v>
      </c>
      <c r="P98">
        <v>7.8734957000000003</v>
      </c>
      <c r="Q98">
        <v>8.1096921000000002</v>
      </c>
      <c r="R98" t="s">
        <v>128</v>
      </c>
      <c r="S98" t="s">
        <v>128</v>
      </c>
      <c r="T98" t="s">
        <v>128</v>
      </c>
      <c r="U98">
        <v>9.7193769000000003</v>
      </c>
    </row>
    <row r="99" spans="1:21" x14ac:dyDescent="0.2">
      <c r="A99" s="1" t="s">
        <v>84</v>
      </c>
      <c r="B99" s="60" t="s">
        <v>164</v>
      </c>
      <c r="C99">
        <v>0.83243971999999999</v>
      </c>
      <c r="D99">
        <v>1.6163615</v>
      </c>
      <c r="E99" t="s">
        <v>128</v>
      </c>
      <c r="F99" s="35" t="s">
        <v>128</v>
      </c>
      <c r="G99">
        <v>5.4891088000000003</v>
      </c>
      <c r="H99" s="34">
        <v>5.3715345000000001</v>
      </c>
      <c r="I99" t="s">
        <v>128</v>
      </c>
      <c r="J99">
        <v>6.1897459000000001</v>
      </c>
      <c r="K99" t="s">
        <v>128</v>
      </c>
      <c r="L99" t="s">
        <v>128</v>
      </c>
      <c r="M99">
        <v>7.7562644000000001</v>
      </c>
      <c r="N99" t="s">
        <v>128</v>
      </c>
      <c r="O99" t="s">
        <v>128</v>
      </c>
      <c r="P99">
        <v>7.8077914000000002</v>
      </c>
      <c r="Q99">
        <v>9.2247150999999903</v>
      </c>
      <c r="R99" t="s">
        <v>128</v>
      </c>
      <c r="S99" t="s">
        <v>128</v>
      </c>
      <c r="T99" t="s">
        <v>128</v>
      </c>
      <c r="U99">
        <v>9.9599477000000007</v>
      </c>
    </row>
    <row r="100" spans="1:21" x14ac:dyDescent="0.2">
      <c r="A100" s="1" t="s">
        <v>85</v>
      </c>
      <c r="B100" s="60" t="s">
        <v>164</v>
      </c>
      <c r="C100">
        <v>0.84761355999999999</v>
      </c>
      <c r="D100">
        <v>1.7276305999999999</v>
      </c>
      <c r="E100" t="s">
        <v>128</v>
      </c>
      <c r="F100" s="35" t="s">
        <v>128</v>
      </c>
      <c r="G100">
        <v>5.5606071000000004</v>
      </c>
      <c r="H100" s="34">
        <v>5.4640015000000002</v>
      </c>
      <c r="I100" t="s">
        <v>128</v>
      </c>
      <c r="J100">
        <v>6.1577593000000004</v>
      </c>
      <c r="K100" t="s">
        <v>128</v>
      </c>
      <c r="L100">
        <v>6.8812024999999997</v>
      </c>
      <c r="M100">
        <v>7.7943528000000004</v>
      </c>
      <c r="N100" t="s">
        <v>128</v>
      </c>
      <c r="O100" t="s">
        <v>128</v>
      </c>
      <c r="P100">
        <v>7.9255183999999996</v>
      </c>
      <c r="Q100">
        <v>8.0804007000000002</v>
      </c>
      <c r="R100" t="s">
        <v>128</v>
      </c>
      <c r="S100" t="s">
        <v>128</v>
      </c>
      <c r="T100" t="s">
        <v>128</v>
      </c>
      <c r="U100">
        <v>9.9002865999999905</v>
      </c>
    </row>
    <row r="101" spans="1:21" x14ac:dyDescent="0.2">
      <c r="A101" s="1" t="s">
        <v>86</v>
      </c>
      <c r="B101" s="60" t="s">
        <v>165</v>
      </c>
      <c r="C101">
        <v>0.83530579999999999</v>
      </c>
      <c r="D101">
        <v>1.6530483</v>
      </c>
      <c r="E101">
        <v>2.1603173999999998</v>
      </c>
      <c r="F101" s="35" t="s">
        <v>128</v>
      </c>
      <c r="G101">
        <v>5.5114660000000004</v>
      </c>
      <c r="H101" s="34">
        <v>5.5114660000000004</v>
      </c>
      <c r="I101" t="s">
        <v>128</v>
      </c>
      <c r="J101">
        <v>6.1673992000000002</v>
      </c>
      <c r="K101" t="s">
        <v>128</v>
      </c>
      <c r="L101" t="s">
        <v>128</v>
      </c>
      <c r="M101">
        <v>6.8112677000000001</v>
      </c>
      <c r="N101" t="s">
        <v>128</v>
      </c>
      <c r="O101" t="s">
        <v>128</v>
      </c>
      <c r="P101">
        <v>7.9962453</v>
      </c>
      <c r="Q101">
        <v>8.0956863000000006</v>
      </c>
      <c r="R101" t="s">
        <v>128</v>
      </c>
      <c r="S101" t="s">
        <v>128</v>
      </c>
      <c r="T101" t="s">
        <v>128</v>
      </c>
      <c r="U101">
        <v>9.9493635999999999</v>
      </c>
    </row>
    <row r="102" spans="1:21" x14ac:dyDescent="0.2">
      <c r="A102" s="1" t="s">
        <v>87</v>
      </c>
      <c r="B102" s="60" t="s">
        <v>165</v>
      </c>
      <c r="C102">
        <v>0.84365274999999995</v>
      </c>
      <c r="D102">
        <v>1.6036790999999999</v>
      </c>
      <c r="E102">
        <v>2.1230357999999998</v>
      </c>
      <c r="F102" s="35" t="s">
        <v>128</v>
      </c>
      <c r="G102">
        <v>5.4873343999999999</v>
      </c>
      <c r="H102" s="34">
        <v>5.4071141999999996</v>
      </c>
      <c r="I102" t="s">
        <v>128</v>
      </c>
      <c r="J102">
        <v>6.1686424000000004</v>
      </c>
      <c r="K102" t="s">
        <v>128</v>
      </c>
      <c r="L102">
        <v>8.0028050000000004</v>
      </c>
      <c r="M102">
        <v>7.7955813999999997</v>
      </c>
      <c r="N102" t="s">
        <v>128</v>
      </c>
      <c r="O102" t="s">
        <v>128</v>
      </c>
      <c r="P102">
        <v>7.8680453999999997</v>
      </c>
      <c r="Q102">
        <v>8.1054168999999998</v>
      </c>
      <c r="R102" t="s">
        <v>128</v>
      </c>
      <c r="S102" t="s">
        <v>128</v>
      </c>
      <c r="T102" t="s">
        <v>128</v>
      </c>
      <c r="U102">
        <v>9.7142415</v>
      </c>
    </row>
    <row r="103" spans="1:21" x14ac:dyDescent="0.2">
      <c r="A103" s="1" t="s">
        <v>88</v>
      </c>
      <c r="B103" s="60" t="s">
        <v>165</v>
      </c>
      <c r="C103">
        <v>0.83891771999999998</v>
      </c>
      <c r="D103">
        <v>1.3988303</v>
      </c>
      <c r="E103">
        <v>2.1205734999999999</v>
      </c>
      <c r="F103" s="35" t="s">
        <v>128</v>
      </c>
      <c r="G103">
        <v>5.5172967000000002</v>
      </c>
      <c r="H103" s="34">
        <v>5.5172967000000002</v>
      </c>
      <c r="I103" t="s">
        <v>128</v>
      </c>
      <c r="J103">
        <v>6.1740091000000001</v>
      </c>
      <c r="K103" t="s">
        <v>128</v>
      </c>
      <c r="L103" t="s">
        <v>128</v>
      </c>
      <c r="M103">
        <v>7.7608858999999999</v>
      </c>
      <c r="N103" t="s">
        <v>128</v>
      </c>
      <c r="O103" t="s">
        <v>128</v>
      </c>
      <c r="P103">
        <v>7.9140037000000003</v>
      </c>
      <c r="Q103">
        <v>9.0476230999999903</v>
      </c>
      <c r="R103" t="s">
        <v>128</v>
      </c>
      <c r="S103" t="s">
        <v>128</v>
      </c>
      <c r="T103" t="s">
        <v>128</v>
      </c>
      <c r="U103">
        <v>9.8819905000000006</v>
      </c>
    </row>
    <row r="104" spans="1:21" x14ac:dyDescent="0.2">
      <c r="A104" s="1" t="s">
        <v>89</v>
      </c>
      <c r="B104" s="60" t="s">
        <v>166</v>
      </c>
      <c r="C104">
        <v>0.83546416999999995</v>
      </c>
      <c r="D104">
        <v>1.4523060000000001</v>
      </c>
      <c r="E104">
        <v>2.1646597999999999</v>
      </c>
      <c r="F104" s="35" t="s">
        <v>128</v>
      </c>
      <c r="G104">
        <v>5.4502961000000001</v>
      </c>
      <c r="H104" s="34">
        <v>5.4071109999999996</v>
      </c>
      <c r="I104" t="s">
        <v>128</v>
      </c>
      <c r="J104">
        <v>6.1682702999999997</v>
      </c>
      <c r="K104" t="s">
        <v>128</v>
      </c>
      <c r="L104" t="s">
        <v>128</v>
      </c>
      <c r="M104">
        <v>7.7538849000000001</v>
      </c>
      <c r="N104">
        <v>7.2093093000000001</v>
      </c>
      <c r="O104" t="s">
        <v>128</v>
      </c>
      <c r="P104">
        <v>8.1530176000000001</v>
      </c>
      <c r="Q104">
        <v>8.6202477000000002</v>
      </c>
      <c r="R104" t="s">
        <v>128</v>
      </c>
      <c r="S104" t="s">
        <v>128</v>
      </c>
      <c r="T104" t="s">
        <v>128</v>
      </c>
      <c r="U104">
        <v>9.7070448999999996</v>
      </c>
    </row>
    <row r="105" spans="1:21" x14ac:dyDescent="0.2">
      <c r="A105" s="1" t="s">
        <v>90</v>
      </c>
      <c r="B105" s="60" t="s">
        <v>166</v>
      </c>
      <c r="C105">
        <v>0.84134564999999994</v>
      </c>
      <c r="D105">
        <v>1.4093648000000001</v>
      </c>
      <c r="E105">
        <v>2.1337828000000001</v>
      </c>
      <c r="F105" s="35" t="s">
        <v>128</v>
      </c>
      <c r="G105">
        <v>5.5066522000000004</v>
      </c>
      <c r="H105" s="34">
        <v>5.4065154</v>
      </c>
      <c r="I105" t="s">
        <v>128</v>
      </c>
      <c r="J105">
        <v>6.1667725000000004</v>
      </c>
      <c r="K105" t="s">
        <v>128</v>
      </c>
      <c r="L105" t="s">
        <v>128</v>
      </c>
      <c r="M105">
        <v>7.7699809000000002</v>
      </c>
      <c r="N105">
        <v>7.2429427999999998</v>
      </c>
      <c r="O105" t="s">
        <v>128</v>
      </c>
      <c r="P105">
        <v>8.0862931000000007</v>
      </c>
      <c r="Q105">
        <v>8.0655578999999999</v>
      </c>
      <c r="R105">
        <v>9.9560642000000001</v>
      </c>
      <c r="S105" t="s">
        <v>128</v>
      </c>
      <c r="T105" t="s">
        <v>128</v>
      </c>
      <c r="U105">
        <v>9.6050912999999998</v>
      </c>
    </row>
    <row r="106" spans="1:21" x14ac:dyDescent="0.2">
      <c r="A106" s="1" t="s">
        <v>91</v>
      </c>
      <c r="B106" s="60" t="s">
        <v>166</v>
      </c>
      <c r="C106">
        <v>0.83443761999999999</v>
      </c>
      <c r="D106">
        <v>1.408442</v>
      </c>
      <c r="E106">
        <v>2.1366084000000001</v>
      </c>
      <c r="F106" s="35" t="s">
        <v>128</v>
      </c>
      <c r="G106">
        <v>5.4989005999999998</v>
      </c>
      <c r="H106" s="34">
        <v>6.2533162000000004</v>
      </c>
      <c r="I106" t="s">
        <v>128</v>
      </c>
      <c r="J106">
        <v>6.1799476999999996</v>
      </c>
      <c r="K106" t="s">
        <v>128</v>
      </c>
      <c r="L106" t="s">
        <v>128</v>
      </c>
      <c r="M106">
        <v>7.7422709000000003</v>
      </c>
      <c r="N106" t="s">
        <v>128</v>
      </c>
      <c r="O106" t="s">
        <v>128</v>
      </c>
      <c r="P106">
        <v>7.9555027000000003</v>
      </c>
      <c r="Q106">
        <v>9.0987138999999999</v>
      </c>
      <c r="R106" t="s">
        <v>128</v>
      </c>
      <c r="S106" t="s">
        <v>128</v>
      </c>
      <c r="T106" t="s">
        <v>128</v>
      </c>
      <c r="U106">
        <v>9.8003195999999999</v>
      </c>
    </row>
    <row r="107" spans="1:21" x14ac:dyDescent="0.2">
      <c r="A107" s="1" t="s">
        <v>155</v>
      </c>
      <c r="C107">
        <v>0.81388795999999997</v>
      </c>
      <c r="D107">
        <v>1.621918</v>
      </c>
      <c r="E107" t="s">
        <v>128</v>
      </c>
      <c r="F107" s="35" t="s">
        <v>128</v>
      </c>
      <c r="G107" t="s">
        <v>128</v>
      </c>
      <c r="H107" s="34">
        <v>5.7687195999999998</v>
      </c>
      <c r="I107" t="s">
        <v>128</v>
      </c>
      <c r="J107">
        <v>6.3318221000000001</v>
      </c>
      <c r="K107" t="s">
        <v>128</v>
      </c>
      <c r="L107">
        <v>7.0933669000000004</v>
      </c>
      <c r="M107">
        <v>8.3142587999999904</v>
      </c>
      <c r="N107">
        <v>7.3464007000000002</v>
      </c>
      <c r="O107">
        <v>7.6630840999999998</v>
      </c>
      <c r="P107">
        <v>8.4539390999999995</v>
      </c>
      <c r="Q107">
        <v>8.8836822000000009</v>
      </c>
      <c r="R107" t="s">
        <v>128</v>
      </c>
      <c r="S107" t="s">
        <v>128</v>
      </c>
      <c r="T107" t="s">
        <v>128</v>
      </c>
      <c r="U107">
        <v>9.8788525000000007</v>
      </c>
    </row>
    <row r="108" spans="1:21" x14ac:dyDescent="0.2">
      <c r="A108" s="1" t="s">
        <v>156</v>
      </c>
      <c r="C108">
        <v>0.82103009999999998</v>
      </c>
      <c r="D108">
        <v>1.6019958999999999</v>
      </c>
      <c r="E108" t="s">
        <v>128</v>
      </c>
      <c r="F108" s="35" t="s">
        <v>128</v>
      </c>
      <c r="G108">
        <v>5.1984763000000003</v>
      </c>
      <c r="H108" s="34">
        <v>5.5175407999999999</v>
      </c>
      <c r="I108" t="s">
        <v>128</v>
      </c>
      <c r="J108">
        <v>6.2292503999999997</v>
      </c>
      <c r="K108" t="s">
        <v>128</v>
      </c>
      <c r="L108" t="s">
        <v>128</v>
      </c>
      <c r="M108">
        <v>6.7555217000000001</v>
      </c>
      <c r="N108">
        <v>7.1413529000000002</v>
      </c>
      <c r="O108">
        <v>7.5443189000000004</v>
      </c>
      <c r="P108">
        <v>7.7996296999999997</v>
      </c>
      <c r="Q108">
        <v>8.7179839999999995</v>
      </c>
      <c r="R108" t="s">
        <v>128</v>
      </c>
      <c r="S108" t="s">
        <v>128</v>
      </c>
      <c r="T108">
        <v>9.6427216999999903</v>
      </c>
      <c r="U108">
        <v>9.8265513000000002</v>
      </c>
    </row>
  </sheetData>
  <sortState xmlns:xlrd2="http://schemas.microsoft.com/office/spreadsheetml/2017/richdata2" ref="A84:U106">
    <sortCondition ref="A83:A106"/>
  </sortState>
  <conditionalFormatting sqref="L2:U15 L16:N16 P16:U16 L17:U25 L35:U58 L83:U106">
    <cfRule type="expression" dxfId="1" priority="1">
      <formula>ABS((L2-MEDIAN(L$2:L$108))/MEDIAN(L$2:L$108))&gt;0.03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7"/>
  <sheetViews>
    <sheetView tabSelected="1" topLeftCell="A34" zoomScale="87" workbookViewId="0">
      <selection activeCell="G47" sqref="G47"/>
    </sheetView>
  </sheetViews>
  <sheetFormatPr baseColWidth="10" defaultColWidth="8.83203125" defaultRowHeight="15" x14ac:dyDescent="0.2"/>
  <cols>
    <col min="1" max="1" width="9.83203125" bestFit="1" customWidth="1"/>
    <col min="2" max="2" width="38.83203125" style="53" bestFit="1" customWidth="1"/>
    <col min="3" max="3" width="20.83203125" bestFit="1" customWidth="1"/>
    <col min="4" max="4" width="12" bestFit="1" customWidth="1"/>
    <col min="5" max="5" width="13.1640625" bestFit="1" customWidth="1"/>
    <col min="6" max="21" width="12" bestFit="1" customWidth="1"/>
  </cols>
  <sheetData>
    <row r="1" spans="1:21" x14ac:dyDescent="0.2">
      <c r="A1" s="118" t="s">
        <v>2</v>
      </c>
      <c r="B1" s="63" t="s">
        <v>158</v>
      </c>
      <c r="C1" s="118" t="s">
        <v>13</v>
      </c>
      <c r="D1" s="118" t="s">
        <v>14</v>
      </c>
      <c r="E1" s="118" t="s">
        <v>15</v>
      </c>
      <c r="F1" s="118" t="s">
        <v>3</v>
      </c>
      <c r="G1" s="118" t="s">
        <v>4</v>
      </c>
      <c r="H1" s="118" t="s">
        <v>5</v>
      </c>
      <c r="I1" s="118" t="s">
        <v>16</v>
      </c>
      <c r="J1" s="118" t="s">
        <v>92</v>
      </c>
      <c r="K1" s="118" t="s">
        <v>6</v>
      </c>
      <c r="L1" s="118" t="s">
        <v>93</v>
      </c>
      <c r="M1" s="118" t="s">
        <v>7</v>
      </c>
      <c r="N1" s="118" t="s">
        <v>8</v>
      </c>
      <c r="O1" s="118" t="s">
        <v>9</v>
      </c>
      <c r="P1" s="118" t="s">
        <v>10</v>
      </c>
      <c r="Q1" s="118" t="s">
        <v>11</v>
      </c>
      <c r="R1" s="118" t="s">
        <v>17</v>
      </c>
      <c r="S1" s="118" t="s">
        <v>94</v>
      </c>
      <c r="T1" s="118" t="s">
        <v>18</v>
      </c>
      <c r="U1" s="118" t="s">
        <v>12</v>
      </c>
    </row>
    <row r="2" spans="1:21" ht="16" x14ac:dyDescent="0.2">
      <c r="A2" s="118">
        <v>1</v>
      </c>
      <c r="B2" s="119" t="s">
        <v>159</v>
      </c>
      <c r="C2" s="120">
        <v>3299681.62633406</v>
      </c>
      <c r="D2" s="120">
        <v>96930.701064008405</v>
      </c>
      <c r="E2" s="120" t="s">
        <v>128</v>
      </c>
      <c r="F2" s="120">
        <v>119.283355713595</v>
      </c>
      <c r="G2" s="120">
        <v>1768.1097711448101</v>
      </c>
      <c r="H2" s="120">
        <v>136.99612767151299</v>
      </c>
      <c r="I2" s="120">
        <v>2569.74254314988</v>
      </c>
      <c r="J2" s="120">
        <v>1189.8296187451001</v>
      </c>
      <c r="K2" s="120">
        <v>3650.275390625</v>
      </c>
      <c r="L2" s="120">
        <v>6471.8945308129696</v>
      </c>
      <c r="M2" s="120">
        <v>53640.907950537898</v>
      </c>
      <c r="N2" s="120">
        <v>325103.94189546403</v>
      </c>
      <c r="O2" s="120" t="s">
        <v>128</v>
      </c>
      <c r="P2" s="120">
        <v>52681.042109945498</v>
      </c>
      <c r="Q2" s="120">
        <v>236301.76062830901</v>
      </c>
      <c r="R2" s="120">
        <v>2089.6791934957</v>
      </c>
      <c r="S2" s="120" t="s">
        <v>128</v>
      </c>
      <c r="T2" s="120" t="s">
        <v>128</v>
      </c>
      <c r="U2" s="120">
        <v>60395.543828665097</v>
      </c>
    </row>
    <row r="3" spans="1:21" ht="16" x14ac:dyDescent="0.2">
      <c r="A3" s="118" t="s">
        <v>21</v>
      </c>
      <c r="B3" s="119" t="s">
        <v>159</v>
      </c>
      <c r="C3" s="120">
        <v>3690765.0128383599</v>
      </c>
      <c r="D3" s="120">
        <v>148152.80449946399</v>
      </c>
      <c r="E3" s="120" t="s">
        <v>128</v>
      </c>
      <c r="F3" s="120" t="s">
        <v>128</v>
      </c>
      <c r="G3" s="120">
        <v>1748.7251525384499</v>
      </c>
      <c r="H3" s="120" t="s">
        <v>128</v>
      </c>
      <c r="I3" s="120">
        <v>4466.41921133706</v>
      </c>
      <c r="J3" s="120">
        <v>3732.0161501607799</v>
      </c>
      <c r="K3" s="120">
        <v>3591.61669921875</v>
      </c>
      <c r="L3" s="120">
        <v>6132.2445573751702</v>
      </c>
      <c r="M3" s="120">
        <v>79073.503884800099</v>
      </c>
      <c r="N3" s="120">
        <v>331857.58937518601</v>
      </c>
      <c r="O3" s="120" t="s">
        <v>128</v>
      </c>
      <c r="P3" s="120">
        <v>58764.1294528035</v>
      </c>
      <c r="Q3" s="120">
        <v>219639.20175611001</v>
      </c>
      <c r="R3" s="120">
        <v>2263.3003514777602</v>
      </c>
      <c r="S3" s="120" t="s">
        <v>128</v>
      </c>
      <c r="T3" s="120" t="s">
        <v>128</v>
      </c>
      <c r="U3" s="120">
        <v>61617.012923525501</v>
      </c>
    </row>
    <row r="4" spans="1:21" ht="16" x14ac:dyDescent="0.2">
      <c r="A4" s="118">
        <v>3</v>
      </c>
      <c r="B4" s="119" t="s">
        <v>159</v>
      </c>
      <c r="C4" s="120">
        <v>4097944.07153368</v>
      </c>
      <c r="D4" s="120">
        <v>167452.86880689999</v>
      </c>
      <c r="E4" s="120">
        <v>1288.28404508892</v>
      </c>
      <c r="F4" s="120" t="s">
        <v>128</v>
      </c>
      <c r="G4" s="120">
        <v>1611.70595755567</v>
      </c>
      <c r="H4" s="120">
        <v>90.334129355589198</v>
      </c>
      <c r="I4" s="120">
        <v>3789.4031740057699</v>
      </c>
      <c r="J4" s="120">
        <v>4854.8516896486399</v>
      </c>
      <c r="K4" s="120">
        <v>4000.54565429687</v>
      </c>
      <c r="L4" s="120">
        <v>6015.4934607841697</v>
      </c>
      <c r="M4" s="120">
        <v>188671.97224090199</v>
      </c>
      <c r="N4" s="120">
        <v>342285.49791445001</v>
      </c>
      <c r="O4" s="120" t="s">
        <v>128</v>
      </c>
      <c r="P4" s="120">
        <v>72620.5121285723</v>
      </c>
      <c r="Q4" s="120">
        <v>190844.713624497</v>
      </c>
      <c r="R4" s="120">
        <v>2518.1903974165598</v>
      </c>
      <c r="S4" s="120" t="s">
        <v>128</v>
      </c>
      <c r="T4" s="120">
        <v>195.40559608058899</v>
      </c>
      <c r="U4" s="120">
        <v>54605.852219542001</v>
      </c>
    </row>
    <row r="5" spans="1:21" ht="16" x14ac:dyDescent="0.2">
      <c r="A5" s="118" t="s">
        <v>24</v>
      </c>
      <c r="B5" s="119" t="s">
        <v>160</v>
      </c>
      <c r="C5" s="120">
        <v>780357.27779561002</v>
      </c>
      <c r="D5" s="120">
        <v>49450.219586392501</v>
      </c>
      <c r="E5" s="120" t="s">
        <v>128</v>
      </c>
      <c r="F5" s="120" t="s">
        <v>128</v>
      </c>
      <c r="G5" s="120">
        <v>1125.0982047862001</v>
      </c>
      <c r="H5" s="120">
        <v>86.034323014490894</v>
      </c>
      <c r="I5" s="120">
        <v>18920.249981921501</v>
      </c>
      <c r="J5" s="120">
        <v>1292.4153010074399</v>
      </c>
      <c r="K5" s="120">
        <v>3956.8056640625</v>
      </c>
      <c r="L5" s="120">
        <v>2649.0219188568199</v>
      </c>
      <c r="M5" s="120">
        <v>552809.84137388295</v>
      </c>
      <c r="N5" s="120">
        <v>157403.11037022999</v>
      </c>
      <c r="O5" s="120" t="s">
        <v>128</v>
      </c>
      <c r="P5" s="120">
        <v>96672.958800580294</v>
      </c>
      <c r="Q5" s="120">
        <v>127379.988063211</v>
      </c>
      <c r="R5" s="120">
        <v>1770.45504752124</v>
      </c>
      <c r="S5" s="120" t="s">
        <v>128</v>
      </c>
      <c r="T5" s="120">
        <v>1706.70753844876</v>
      </c>
      <c r="U5" s="120">
        <v>56507.672285686604</v>
      </c>
    </row>
    <row r="6" spans="1:21" ht="16" x14ac:dyDescent="0.2">
      <c r="A6" s="118" t="s">
        <v>25</v>
      </c>
      <c r="B6" s="119" t="s">
        <v>160</v>
      </c>
      <c r="C6" s="120">
        <v>949695.07348510996</v>
      </c>
      <c r="D6" s="120">
        <v>43551.670966691498</v>
      </c>
      <c r="E6" s="120" t="s">
        <v>128</v>
      </c>
      <c r="F6" s="120" t="s">
        <v>128</v>
      </c>
      <c r="G6" s="120">
        <v>1577.00993598841</v>
      </c>
      <c r="H6" s="120">
        <v>90.354509055768901</v>
      </c>
      <c r="I6" s="120">
        <v>23412.7352951377</v>
      </c>
      <c r="J6" s="120">
        <v>4223.7350408652001</v>
      </c>
      <c r="K6" s="120">
        <v>6146.70556640625</v>
      </c>
      <c r="L6" s="120">
        <v>3670.0197032885799</v>
      </c>
      <c r="M6" s="120">
        <v>937181.39261420094</v>
      </c>
      <c r="N6" s="120">
        <v>224795.49084736101</v>
      </c>
      <c r="O6" s="120" t="s">
        <v>128</v>
      </c>
      <c r="P6" s="120">
        <v>138184.02143612001</v>
      </c>
      <c r="Q6" s="120">
        <v>155104.827434623</v>
      </c>
      <c r="R6" s="120">
        <v>3370.4267141914202</v>
      </c>
      <c r="S6" s="120" t="s">
        <v>128</v>
      </c>
      <c r="T6" s="120">
        <v>2950.0829418497401</v>
      </c>
      <c r="U6" s="120">
        <v>80477.598716655106</v>
      </c>
    </row>
    <row r="7" spans="1:21" ht="16" x14ac:dyDescent="0.2">
      <c r="A7" s="118" t="s">
        <v>26</v>
      </c>
      <c r="B7" s="119" t="s">
        <v>160</v>
      </c>
      <c r="C7" s="120">
        <v>605093.80020080297</v>
      </c>
      <c r="D7" s="120">
        <v>34755.5077845579</v>
      </c>
      <c r="E7" s="120" t="s">
        <v>128</v>
      </c>
      <c r="F7" s="120" t="s">
        <v>128</v>
      </c>
      <c r="G7" s="120">
        <v>826.08847954534099</v>
      </c>
      <c r="H7" s="120" t="s">
        <v>128</v>
      </c>
      <c r="I7" s="120">
        <v>21106.636582029601</v>
      </c>
      <c r="J7" s="120">
        <v>809.06699201392496</v>
      </c>
      <c r="K7" s="120">
        <v>4507.82861328125</v>
      </c>
      <c r="L7" s="120">
        <v>3098.5460862315799</v>
      </c>
      <c r="M7" s="120">
        <v>775682.15146617405</v>
      </c>
      <c r="N7" s="120">
        <v>155382.228730606</v>
      </c>
      <c r="O7" s="120" t="s">
        <v>128</v>
      </c>
      <c r="P7" s="120">
        <v>103061.536618905</v>
      </c>
      <c r="Q7" s="120">
        <v>89238.837941679594</v>
      </c>
      <c r="R7" s="120">
        <v>1834.87150661898</v>
      </c>
      <c r="S7" s="120" t="s">
        <v>128</v>
      </c>
      <c r="T7" s="120">
        <v>2523.0217764072499</v>
      </c>
      <c r="U7" s="120">
        <v>72307.619629503606</v>
      </c>
    </row>
    <row r="8" spans="1:21" ht="16" x14ac:dyDescent="0.2">
      <c r="A8" s="118" t="s">
        <v>95</v>
      </c>
      <c r="B8" s="119" t="s">
        <v>161</v>
      </c>
      <c r="C8" s="120">
        <v>3914877.8374832901</v>
      </c>
      <c r="D8" s="120">
        <v>44513.560871247602</v>
      </c>
      <c r="E8" s="120" t="s">
        <v>128</v>
      </c>
      <c r="F8" s="120">
        <v>188.88111350203201</v>
      </c>
      <c r="G8" s="120">
        <v>2023.80565206744</v>
      </c>
      <c r="H8" s="120">
        <v>105.195125345843</v>
      </c>
      <c r="I8" s="120">
        <v>26120.429308128801</v>
      </c>
      <c r="J8" s="120">
        <v>683.91085037293396</v>
      </c>
      <c r="K8" s="120">
        <v>4528.482421875</v>
      </c>
      <c r="L8" s="120">
        <v>2959.7667095135898</v>
      </c>
      <c r="M8" s="120">
        <v>30957.722337177602</v>
      </c>
      <c r="N8" s="120">
        <v>216465.079475548</v>
      </c>
      <c r="O8" s="120" t="s">
        <v>128</v>
      </c>
      <c r="P8" s="120">
        <v>38058.478129094197</v>
      </c>
      <c r="Q8" s="120">
        <v>291479.35548033199</v>
      </c>
      <c r="R8" s="120">
        <v>2618.0903023196302</v>
      </c>
      <c r="S8" s="120" t="s">
        <v>128</v>
      </c>
      <c r="T8" s="120">
        <v>3168.09454941479</v>
      </c>
      <c r="U8" s="120">
        <v>79836.194694535399</v>
      </c>
    </row>
    <row r="9" spans="1:21" ht="16" x14ac:dyDescent="0.2">
      <c r="A9" s="118" t="s">
        <v>27</v>
      </c>
      <c r="B9" s="119" t="s">
        <v>161</v>
      </c>
      <c r="C9" s="120">
        <v>4630394.6181671899</v>
      </c>
      <c r="D9" s="120">
        <v>63139.393935010201</v>
      </c>
      <c r="E9" s="120" t="s">
        <v>128</v>
      </c>
      <c r="F9" s="120" t="s">
        <v>128</v>
      </c>
      <c r="G9" s="120">
        <v>2101.3682412427702</v>
      </c>
      <c r="H9" s="120">
        <v>196.47602126723399</v>
      </c>
      <c r="I9" s="120">
        <v>27021.607339706101</v>
      </c>
      <c r="J9" s="120">
        <v>1532.0852101947901</v>
      </c>
      <c r="K9" s="120">
        <v>4612.5322265625</v>
      </c>
      <c r="L9" s="120">
        <v>3152.2753212118901</v>
      </c>
      <c r="M9" s="120">
        <v>31039.171736460499</v>
      </c>
      <c r="N9" s="120">
        <v>217612.54178</v>
      </c>
      <c r="O9" s="120" t="s">
        <v>128</v>
      </c>
      <c r="P9" s="120">
        <v>40631.295913639398</v>
      </c>
      <c r="Q9" s="120">
        <v>284031.53124068002</v>
      </c>
      <c r="R9" s="120">
        <v>2858.1094744013899</v>
      </c>
      <c r="S9" s="120" t="s">
        <v>128</v>
      </c>
      <c r="T9" s="120">
        <v>3124.76385009877</v>
      </c>
      <c r="U9" s="120">
        <v>80759.634626921194</v>
      </c>
    </row>
    <row r="10" spans="1:21" ht="16" x14ac:dyDescent="0.2">
      <c r="A10" s="118">
        <v>9</v>
      </c>
      <c r="B10" s="119" t="s">
        <v>161</v>
      </c>
      <c r="C10" s="120">
        <v>4706835.2361484803</v>
      </c>
      <c r="D10" s="120">
        <v>42764.6704232025</v>
      </c>
      <c r="E10" s="120">
        <v>806.85733491295798</v>
      </c>
      <c r="F10" s="120" t="s">
        <v>128</v>
      </c>
      <c r="G10" s="120">
        <v>2104.3817854395302</v>
      </c>
      <c r="H10" s="120">
        <v>196.62518802454099</v>
      </c>
      <c r="I10" s="120">
        <v>30345.1075767451</v>
      </c>
      <c r="J10" s="120">
        <v>2355.206064044</v>
      </c>
      <c r="K10" s="120">
        <v>4412.90380859375</v>
      </c>
      <c r="L10" s="120">
        <v>3095.9863421895998</v>
      </c>
      <c r="M10" s="120">
        <v>40340.263992962202</v>
      </c>
      <c r="N10" s="120">
        <v>215767.496562816</v>
      </c>
      <c r="O10" s="120" t="s">
        <v>128</v>
      </c>
      <c r="P10" s="120">
        <v>42533.5120756873</v>
      </c>
      <c r="Q10" s="120">
        <v>304307.22430216603</v>
      </c>
      <c r="R10" s="120">
        <v>3064.7909393199898</v>
      </c>
      <c r="S10" s="120" t="s">
        <v>128</v>
      </c>
      <c r="T10" s="120">
        <v>3320.86210261418</v>
      </c>
      <c r="U10" s="120">
        <v>85880.812609977496</v>
      </c>
    </row>
    <row r="11" spans="1:21" ht="16" x14ac:dyDescent="0.2">
      <c r="A11" s="118" t="s">
        <v>29</v>
      </c>
      <c r="B11" s="119" t="s">
        <v>162</v>
      </c>
      <c r="C11" s="120">
        <v>4213767.1986077996</v>
      </c>
      <c r="D11" s="120">
        <v>372702.037959254</v>
      </c>
      <c r="E11" s="120">
        <v>36998.383107324902</v>
      </c>
      <c r="F11" s="120" t="s">
        <v>128</v>
      </c>
      <c r="G11" s="120">
        <v>1887.75607963174</v>
      </c>
      <c r="H11" s="120">
        <v>161.83440725873899</v>
      </c>
      <c r="I11" s="120">
        <v>27931.873265543902</v>
      </c>
      <c r="J11" s="120">
        <v>986.833209403002</v>
      </c>
      <c r="K11" s="120">
        <v>3701.22412109375</v>
      </c>
      <c r="L11" s="120">
        <v>4578.53165322519</v>
      </c>
      <c r="M11" s="120">
        <v>28579.019317818002</v>
      </c>
      <c r="N11" s="120">
        <v>396217.34500314703</v>
      </c>
      <c r="O11" s="120" t="s">
        <v>128</v>
      </c>
      <c r="P11" s="120">
        <v>40826.147826203698</v>
      </c>
      <c r="Q11" s="120">
        <v>258699.94631870399</v>
      </c>
      <c r="R11" s="120">
        <v>3788.0613918282702</v>
      </c>
      <c r="S11" s="120" t="s">
        <v>128</v>
      </c>
      <c r="T11" s="120">
        <v>3233.6216519119398</v>
      </c>
      <c r="U11" s="120">
        <v>81949.500589049101</v>
      </c>
    </row>
    <row r="12" spans="1:21" ht="16" x14ac:dyDescent="0.2">
      <c r="A12" s="118" t="s">
        <v>30</v>
      </c>
      <c r="B12" s="119" t="s">
        <v>162</v>
      </c>
      <c r="C12" s="120">
        <v>3311513.5111068902</v>
      </c>
      <c r="D12" s="120">
        <v>315824.70564657898</v>
      </c>
      <c r="E12" s="120">
        <v>25171.317702435699</v>
      </c>
      <c r="F12" s="120" t="s">
        <v>128</v>
      </c>
      <c r="G12" s="120">
        <v>1839.7869246176599</v>
      </c>
      <c r="H12" s="120" t="s">
        <v>128</v>
      </c>
      <c r="I12" s="120">
        <v>27117.6842630147</v>
      </c>
      <c r="J12" s="120">
        <v>1225.0576648511401</v>
      </c>
      <c r="K12" s="120">
        <v>4197.24267578125</v>
      </c>
      <c r="L12" s="120">
        <v>4088.7777660605602</v>
      </c>
      <c r="M12" s="120">
        <v>28050.9400311381</v>
      </c>
      <c r="N12" s="120">
        <v>369442.98740709398</v>
      </c>
      <c r="O12" s="120" t="s">
        <v>128</v>
      </c>
      <c r="P12" s="120">
        <v>36813.677454010103</v>
      </c>
      <c r="Q12" s="120">
        <v>238912.82481413201</v>
      </c>
      <c r="R12" s="120">
        <v>3441.31201172193</v>
      </c>
      <c r="S12" s="120" t="s">
        <v>128</v>
      </c>
      <c r="T12" s="120">
        <v>2589.9036282420202</v>
      </c>
      <c r="U12" s="120">
        <v>73141.442280322997</v>
      </c>
    </row>
    <row r="13" spans="1:21" ht="16" x14ac:dyDescent="0.2">
      <c r="A13" s="118" t="s">
        <v>31</v>
      </c>
      <c r="B13" s="119" t="s">
        <v>162</v>
      </c>
      <c r="C13" s="120">
        <v>3312698.9852474499</v>
      </c>
      <c r="D13" s="120">
        <v>916262.27229538094</v>
      </c>
      <c r="E13" s="120">
        <v>44279.866652667399</v>
      </c>
      <c r="F13" s="120" t="s">
        <v>128</v>
      </c>
      <c r="G13" s="120">
        <v>1743.9315746260199</v>
      </c>
      <c r="H13" s="120">
        <v>276.20639570964403</v>
      </c>
      <c r="I13" s="120">
        <v>33339.791548478701</v>
      </c>
      <c r="J13" s="120">
        <v>882.70037588204696</v>
      </c>
      <c r="K13" s="120">
        <v>5275.47900390625</v>
      </c>
      <c r="L13" s="120">
        <v>5971.4477715501898</v>
      </c>
      <c r="M13" s="120">
        <v>31991.2320721869</v>
      </c>
      <c r="N13" s="120">
        <v>411213.85322554503</v>
      </c>
      <c r="O13" s="120" t="s">
        <v>128</v>
      </c>
      <c r="P13" s="120">
        <v>36820.220396005701</v>
      </c>
      <c r="Q13" s="120">
        <v>245836.727123622</v>
      </c>
      <c r="R13" s="120">
        <v>3383.38625355877</v>
      </c>
      <c r="S13" s="120" t="s">
        <v>128</v>
      </c>
      <c r="T13" s="120">
        <v>3925.4448381280499</v>
      </c>
      <c r="U13" s="120">
        <v>84950.560152876496</v>
      </c>
    </row>
    <row r="14" spans="1:21" ht="16" x14ac:dyDescent="0.2">
      <c r="A14" s="118" t="s">
        <v>32</v>
      </c>
      <c r="B14" s="119" t="s">
        <v>163</v>
      </c>
      <c r="C14" s="120">
        <v>9112949.1280293409</v>
      </c>
      <c r="D14" s="120">
        <v>890557.21697073698</v>
      </c>
      <c r="E14" s="120">
        <v>1154.9573770658999</v>
      </c>
      <c r="F14" s="120" t="s">
        <v>128</v>
      </c>
      <c r="G14" s="120">
        <v>5865.3754287333804</v>
      </c>
      <c r="H14" s="120">
        <v>989.31538189974697</v>
      </c>
      <c r="I14" s="120">
        <v>160098.93874896501</v>
      </c>
      <c r="J14" s="120">
        <v>17490.763035964999</v>
      </c>
      <c r="K14" s="120">
        <v>8823.9384765625</v>
      </c>
      <c r="L14" s="120">
        <v>10305.7081337361</v>
      </c>
      <c r="M14" s="120">
        <v>2790.25217027194</v>
      </c>
      <c r="N14" s="120">
        <v>1069573.4371014901</v>
      </c>
      <c r="O14" s="120">
        <v>1451.7939453125</v>
      </c>
      <c r="P14" s="120">
        <v>147394.697243186</v>
      </c>
      <c r="Q14" s="120">
        <v>946356.72396660503</v>
      </c>
      <c r="R14" s="120">
        <v>10676.447294816</v>
      </c>
      <c r="S14" s="120">
        <v>2055.4239107069102</v>
      </c>
      <c r="T14" s="120">
        <v>9755.2807905556692</v>
      </c>
      <c r="U14" s="120">
        <v>216342.862501097</v>
      </c>
    </row>
    <row r="15" spans="1:21" ht="16" x14ac:dyDescent="0.2">
      <c r="A15" s="118" t="s">
        <v>33</v>
      </c>
      <c r="B15" s="119" t="s">
        <v>163</v>
      </c>
      <c r="C15" s="120">
        <v>7651982.0679525901</v>
      </c>
      <c r="D15" s="120">
        <v>557300.008294511</v>
      </c>
      <c r="E15" s="120" t="s">
        <v>128</v>
      </c>
      <c r="F15" s="120" t="s">
        <v>128</v>
      </c>
      <c r="G15" s="120">
        <v>4943.1109985472203</v>
      </c>
      <c r="H15" s="120">
        <v>1061.2604756550199</v>
      </c>
      <c r="I15" s="120">
        <v>150042.93103281001</v>
      </c>
      <c r="J15" s="120">
        <v>14295.806952111099</v>
      </c>
      <c r="K15" s="120">
        <v>9541.9970703125</v>
      </c>
      <c r="L15" s="120">
        <v>10280.0887839031</v>
      </c>
      <c r="M15" s="120">
        <v>134461.08334744899</v>
      </c>
      <c r="N15" s="120">
        <v>946879.08009087702</v>
      </c>
      <c r="O15" s="120">
        <v>1773.29711914062</v>
      </c>
      <c r="P15" s="120">
        <v>134105.524562957</v>
      </c>
      <c r="Q15" s="120">
        <v>840036.18416318798</v>
      </c>
      <c r="R15" s="120">
        <v>8622.2743636485102</v>
      </c>
      <c r="S15" s="120">
        <v>1173.16757766464</v>
      </c>
      <c r="T15" s="120">
        <v>8887.3687066201292</v>
      </c>
      <c r="U15" s="120">
        <v>147532.07039526801</v>
      </c>
    </row>
    <row r="16" spans="1:21" ht="16" x14ac:dyDescent="0.2">
      <c r="A16" s="118" t="s">
        <v>34</v>
      </c>
      <c r="B16" s="119" t="s">
        <v>163</v>
      </c>
      <c r="C16" s="120">
        <v>8995743.6388313994</v>
      </c>
      <c r="D16" s="120">
        <v>558508.73013885901</v>
      </c>
      <c r="E16" s="120" t="s">
        <v>128</v>
      </c>
      <c r="F16" s="120" t="s">
        <v>128</v>
      </c>
      <c r="G16" s="120">
        <v>6301.1034639728095</v>
      </c>
      <c r="H16" s="120">
        <v>912.32940512009498</v>
      </c>
      <c r="I16" s="120">
        <v>143870.66042283201</v>
      </c>
      <c r="J16" s="120">
        <v>18905.097030860601</v>
      </c>
      <c r="K16" s="120">
        <v>11990.6640625</v>
      </c>
      <c r="L16" s="120">
        <v>10647.0317654632</v>
      </c>
      <c r="M16" s="120">
        <v>159097.791254196</v>
      </c>
      <c r="N16" s="120">
        <v>1128271.5081068999</v>
      </c>
      <c r="O16" s="120">
        <v>2211.80981445312</v>
      </c>
      <c r="P16" s="120">
        <v>158389.68672506799</v>
      </c>
      <c r="Q16" s="120">
        <v>990494.10278882005</v>
      </c>
      <c r="R16" s="120">
        <v>13054.7883283594</v>
      </c>
      <c r="S16" s="120" t="s">
        <v>128</v>
      </c>
      <c r="T16" s="120">
        <v>9886.7100625365001</v>
      </c>
      <c r="U16" s="120">
        <v>208557.50838590099</v>
      </c>
    </row>
    <row r="17" spans="1:21" ht="16" x14ac:dyDescent="0.2">
      <c r="A17" s="118" t="s">
        <v>35</v>
      </c>
      <c r="B17" s="119" t="s">
        <v>164</v>
      </c>
      <c r="C17" s="120">
        <v>696727.35812136496</v>
      </c>
      <c r="D17" s="120">
        <v>38823.061006729797</v>
      </c>
      <c r="E17" s="120" t="s">
        <v>128</v>
      </c>
      <c r="F17" s="120" t="s">
        <v>128</v>
      </c>
      <c r="G17" s="120">
        <v>1494.3654879263199</v>
      </c>
      <c r="H17" s="120">
        <v>108.081424724995</v>
      </c>
      <c r="I17" s="120">
        <v>24927.8442919628</v>
      </c>
      <c r="J17" s="120">
        <v>23111.083617390999</v>
      </c>
      <c r="K17" s="120">
        <v>1298.87316894531</v>
      </c>
      <c r="L17" s="120">
        <v>2449.2987300101599</v>
      </c>
      <c r="M17" s="120">
        <v>3680935.7583995899</v>
      </c>
      <c r="N17" s="120">
        <v>154570.006016484</v>
      </c>
      <c r="O17" s="120" t="s">
        <v>128</v>
      </c>
      <c r="P17" s="120">
        <v>383761.699119545</v>
      </c>
      <c r="Q17" s="120">
        <v>247696.08379415199</v>
      </c>
      <c r="R17" s="120">
        <v>7079.7278545284698</v>
      </c>
      <c r="S17" s="120">
        <v>792.134070469363</v>
      </c>
      <c r="T17" s="120">
        <v>4585.97458907704</v>
      </c>
      <c r="U17" s="120">
        <v>237472.10522317799</v>
      </c>
    </row>
    <row r="18" spans="1:21" ht="16" x14ac:dyDescent="0.2">
      <c r="A18" s="118" t="s">
        <v>36</v>
      </c>
      <c r="B18" s="119" t="s">
        <v>164</v>
      </c>
      <c r="C18" s="120">
        <v>852109.48879908898</v>
      </c>
      <c r="D18" s="120">
        <v>33652.902359585903</v>
      </c>
      <c r="E18" s="120" t="s">
        <v>128</v>
      </c>
      <c r="F18" s="120" t="s">
        <v>128</v>
      </c>
      <c r="G18" s="120">
        <v>832.10465597453401</v>
      </c>
      <c r="H18" s="120" t="s">
        <v>128</v>
      </c>
      <c r="I18" s="120">
        <v>43582.875210545797</v>
      </c>
      <c r="J18" s="120">
        <v>19350.399541501902</v>
      </c>
      <c r="K18" s="120">
        <v>10641.68359375</v>
      </c>
      <c r="L18" s="120">
        <v>1972.7143987926199</v>
      </c>
      <c r="M18" s="120">
        <v>2447071.45920404</v>
      </c>
      <c r="N18" s="120">
        <v>112953.28588756701</v>
      </c>
      <c r="O18" s="120">
        <v>1222.2275390625</v>
      </c>
      <c r="P18" s="120">
        <v>344355.714108104</v>
      </c>
      <c r="Q18" s="120">
        <v>296305.82856568001</v>
      </c>
      <c r="R18" s="120">
        <v>4532.54927048027</v>
      </c>
      <c r="S18" s="120" t="s">
        <v>128</v>
      </c>
      <c r="T18" s="120">
        <v>4516.0766772062898</v>
      </c>
      <c r="U18" s="120">
        <v>211740.34076171301</v>
      </c>
    </row>
    <row r="19" spans="1:21" ht="16" x14ac:dyDescent="0.2">
      <c r="A19" s="118" t="s">
        <v>37</v>
      </c>
      <c r="B19" s="119" t="s">
        <v>164</v>
      </c>
      <c r="C19" s="120">
        <v>726784.20162544504</v>
      </c>
      <c r="D19" s="120">
        <v>22277.124407564799</v>
      </c>
      <c r="E19" s="120" t="s">
        <v>128</v>
      </c>
      <c r="F19" s="120" t="s">
        <v>128</v>
      </c>
      <c r="G19" s="120">
        <v>1184.8234422509499</v>
      </c>
      <c r="H19" s="120" t="s">
        <v>128</v>
      </c>
      <c r="I19" s="120">
        <v>39839.012261465497</v>
      </c>
      <c r="J19" s="120">
        <v>16306.506473088</v>
      </c>
      <c r="K19" s="120">
        <v>11756.890625</v>
      </c>
      <c r="L19" s="120">
        <v>2209.58773861086</v>
      </c>
      <c r="M19" s="120">
        <v>2088146.4377327999</v>
      </c>
      <c r="N19" s="120">
        <v>135423.87239502399</v>
      </c>
      <c r="O19" s="120">
        <v>1830.60290527343</v>
      </c>
      <c r="P19" s="120">
        <v>379310.37345632701</v>
      </c>
      <c r="Q19" s="120">
        <v>396987.73935075302</v>
      </c>
      <c r="R19" s="120">
        <v>6733.50769551134</v>
      </c>
      <c r="S19" s="120" t="s">
        <v>128</v>
      </c>
      <c r="T19" s="120">
        <v>4039.7815006098399</v>
      </c>
      <c r="U19" s="120">
        <v>233069.42577681501</v>
      </c>
    </row>
    <row r="20" spans="1:21" ht="16" x14ac:dyDescent="0.2">
      <c r="A20" s="118" t="s">
        <v>38</v>
      </c>
      <c r="B20" s="119" t="s">
        <v>165</v>
      </c>
      <c r="C20" s="120">
        <v>10155048.615567399</v>
      </c>
      <c r="D20" s="120">
        <v>33824.595603536298</v>
      </c>
      <c r="E20" s="120">
        <v>9171.5415660114304</v>
      </c>
      <c r="F20" s="120" t="s">
        <v>128</v>
      </c>
      <c r="G20" s="120">
        <v>6771.9836705851303</v>
      </c>
      <c r="H20" s="120">
        <v>512.58174474387204</v>
      </c>
      <c r="I20" s="120">
        <v>38469.285399967899</v>
      </c>
      <c r="J20" s="120">
        <v>15141.107024063</v>
      </c>
      <c r="K20" s="120">
        <v>11053.568359375</v>
      </c>
      <c r="L20" s="120">
        <v>2325.7608937077098</v>
      </c>
      <c r="M20" s="120">
        <v>114091.21225084399</v>
      </c>
      <c r="N20" s="120">
        <v>157682.043417523</v>
      </c>
      <c r="O20" s="120">
        <v>2206.12377929687</v>
      </c>
      <c r="P20" s="120">
        <v>100970.50053756899</v>
      </c>
      <c r="Q20" s="120">
        <v>1077602.53280566</v>
      </c>
      <c r="R20" s="120">
        <v>8403.3785599914499</v>
      </c>
      <c r="S20" s="120" t="s">
        <v>128</v>
      </c>
      <c r="T20" s="120">
        <v>5213.3433998823002</v>
      </c>
      <c r="U20" s="120">
        <v>218897.14359797299</v>
      </c>
    </row>
    <row r="21" spans="1:21" ht="16" x14ac:dyDescent="0.2">
      <c r="A21" s="118" t="s">
        <v>39</v>
      </c>
      <c r="B21" s="119" t="s">
        <v>165</v>
      </c>
      <c r="C21" s="120">
        <v>11911151.877719499</v>
      </c>
      <c r="D21" s="120">
        <v>55355.6872726191</v>
      </c>
      <c r="E21" s="120">
        <v>7232.9633238626502</v>
      </c>
      <c r="F21" s="120" t="s">
        <v>128</v>
      </c>
      <c r="G21" s="120">
        <v>7801.3023463142299</v>
      </c>
      <c r="H21" s="120">
        <v>1132.9937438726699</v>
      </c>
      <c r="I21" s="120">
        <v>42278.725407804297</v>
      </c>
      <c r="J21" s="120">
        <v>13077.376883233699</v>
      </c>
      <c r="K21" s="120">
        <v>12522.9521484375</v>
      </c>
      <c r="L21" s="120">
        <v>1742.1589492165599</v>
      </c>
      <c r="M21" s="120">
        <v>104750.011483889</v>
      </c>
      <c r="N21" s="120">
        <v>168590.93679516201</v>
      </c>
      <c r="O21" s="120">
        <v>2376.06005859375</v>
      </c>
      <c r="P21" s="120">
        <v>105741.915838549</v>
      </c>
      <c r="Q21" s="120">
        <v>1099981.60786469</v>
      </c>
      <c r="R21" s="120">
        <v>8576.9539121947892</v>
      </c>
      <c r="S21" s="120" t="s">
        <v>128</v>
      </c>
      <c r="T21" s="120">
        <v>6728.7096938372297</v>
      </c>
      <c r="U21" s="120">
        <v>250328.396341958</v>
      </c>
    </row>
    <row r="22" spans="1:21" ht="16" x14ac:dyDescent="0.2">
      <c r="A22" s="118" t="s">
        <v>40</v>
      </c>
      <c r="B22" s="119" t="s">
        <v>165</v>
      </c>
      <c r="C22" s="120">
        <v>11010762.3518134</v>
      </c>
      <c r="D22" s="120">
        <v>45780.827446347001</v>
      </c>
      <c r="E22" s="120">
        <v>5705.5406098394897</v>
      </c>
      <c r="F22" s="120" t="s">
        <v>128</v>
      </c>
      <c r="G22" s="120">
        <v>6933.6534844378402</v>
      </c>
      <c r="H22" s="120">
        <v>606.48172936990795</v>
      </c>
      <c r="I22" s="120">
        <v>42181.061075344398</v>
      </c>
      <c r="J22" s="120">
        <v>15620.9591870524</v>
      </c>
      <c r="K22" s="120">
        <v>12074.419921875</v>
      </c>
      <c r="L22" s="120">
        <v>2139.8587056063502</v>
      </c>
      <c r="M22" s="120">
        <v>123714.91216926801</v>
      </c>
      <c r="N22" s="120">
        <v>167062.70540228899</v>
      </c>
      <c r="O22" s="120">
        <v>1566.88293457031</v>
      </c>
      <c r="P22" s="120">
        <v>98534.625143236495</v>
      </c>
      <c r="Q22" s="120">
        <v>1093188.53897448</v>
      </c>
      <c r="R22" s="120">
        <v>9971.5692826282193</v>
      </c>
      <c r="S22" s="120" t="s">
        <v>128</v>
      </c>
      <c r="T22" s="120">
        <v>4137.4872426747297</v>
      </c>
      <c r="U22" s="120">
        <v>246967.64695461001</v>
      </c>
    </row>
    <row r="23" spans="1:21" ht="16" x14ac:dyDescent="0.2">
      <c r="A23" s="118" t="s">
        <v>41</v>
      </c>
      <c r="B23" s="119" t="s">
        <v>166</v>
      </c>
      <c r="C23" s="120">
        <v>7006352.5258230101</v>
      </c>
      <c r="D23" s="120">
        <v>2027921.11315605</v>
      </c>
      <c r="E23" s="120">
        <v>58087.283174955897</v>
      </c>
      <c r="F23" s="120" t="s">
        <v>128</v>
      </c>
      <c r="G23" s="120">
        <v>6162.5287258405297</v>
      </c>
      <c r="H23" s="120">
        <v>947.40252026038399</v>
      </c>
      <c r="I23" s="120">
        <v>141648.642479464</v>
      </c>
      <c r="J23" s="120">
        <v>14612.068729413801</v>
      </c>
      <c r="K23" s="120">
        <v>11600.9228515625</v>
      </c>
      <c r="L23" s="120">
        <v>11311.829083066699</v>
      </c>
      <c r="M23" s="120">
        <v>105377.849998445</v>
      </c>
      <c r="N23" s="120">
        <v>1183817.5105709501</v>
      </c>
      <c r="O23" s="120">
        <v>1515.93054199218</v>
      </c>
      <c r="P23" s="120">
        <v>93806.371860197702</v>
      </c>
      <c r="Q23" s="120">
        <v>882309.93130006595</v>
      </c>
      <c r="R23" s="120">
        <v>10439.522264446199</v>
      </c>
      <c r="S23" s="120">
        <v>1454.24138266566</v>
      </c>
      <c r="T23" s="120">
        <v>8685.7014826377908</v>
      </c>
      <c r="U23" s="120">
        <v>212000.65739880101</v>
      </c>
    </row>
    <row r="24" spans="1:21" ht="16" x14ac:dyDescent="0.2">
      <c r="A24" s="118" t="s">
        <v>42</v>
      </c>
      <c r="B24" s="119" t="s">
        <v>166</v>
      </c>
      <c r="C24" s="120">
        <v>6275024.6663375199</v>
      </c>
      <c r="D24" s="120">
        <v>1165838.9021433</v>
      </c>
      <c r="E24" s="120">
        <v>41171.631171891597</v>
      </c>
      <c r="F24" s="120" t="s">
        <v>128</v>
      </c>
      <c r="G24" s="120">
        <v>6058.8139357547898</v>
      </c>
      <c r="H24" s="120">
        <v>617.32659501604405</v>
      </c>
      <c r="I24" s="120">
        <v>134385.05148777101</v>
      </c>
      <c r="J24" s="120">
        <v>12969.131391724</v>
      </c>
      <c r="K24" s="120">
        <v>958.85101318359295</v>
      </c>
      <c r="L24" s="120">
        <v>10719.749338358701</v>
      </c>
      <c r="M24" s="120">
        <v>82404.846628989297</v>
      </c>
      <c r="N24" s="120">
        <v>1263718.97636794</v>
      </c>
      <c r="O24" s="120">
        <v>1826.76501464843</v>
      </c>
      <c r="P24" s="120">
        <v>79010.403866933906</v>
      </c>
      <c r="Q24" s="120">
        <v>794862.45421758899</v>
      </c>
      <c r="R24" s="120">
        <v>9541.9295672225508</v>
      </c>
      <c r="S24" s="120">
        <v>748.69246442543295</v>
      </c>
      <c r="T24" s="120">
        <v>10852.8180330615</v>
      </c>
      <c r="U24" s="120">
        <v>168254.37307678699</v>
      </c>
    </row>
    <row r="25" spans="1:21" ht="16" x14ac:dyDescent="0.2">
      <c r="A25" s="118" t="s">
        <v>43</v>
      </c>
      <c r="B25" s="119" t="s">
        <v>166</v>
      </c>
      <c r="C25" s="120">
        <v>6457373.4423153996</v>
      </c>
      <c r="D25" s="120">
        <v>2732612.8514871802</v>
      </c>
      <c r="E25" s="120">
        <v>36077.473755921899</v>
      </c>
      <c r="F25" s="120" t="s">
        <v>128</v>
      </c>
      <c r="G25" s="120">
        <v>5679.9115068565798</v>
      </c>
      <c r="H25" s="120">
        <v>411.67641028359202</v>
      </c>
      <c r="I25" s="120">
        <v>110461.142655952</v>
      </c>
      <c r="J25" s="120">
        <v>13409.919408153</v>
      </c>
      <c r="K25" s="120">
        <v>10988.94921875</v>
      </c>
      <c r="L25" s="120">
        <v>9194.4767069631598</v>
      </c>
      <c r="M25" s="120">
        <v>68447.5479165906</v>
      </c>
      <c r="N25" s="120">
        <v>1097991.51221354</v>
      </c>
      <c r="O25" s="120">
        <v>1433.28796386718</v>
      </c>
      <c r="P25" s="120">
        <v>74576.551542552304</v>
      </c>
      <c r="Q25" s="120">
        <v>826466.37056838698</v>
      </c>
      <c r="R25" s="120">
        <v>10866.616527244099</v>
      </c>
      <c r="S25" s="120" t="s">
        <v>128</v>
      </c>
      <c r="T25" s="120">
        <v>8627.9810500455205</v>
      </c>
      <c r="U25" s="120">
        <v>170954.06057870301</v>
      </c>
    </row>
    <row r="26" spans="1:21" ht="16" x14ac:dyDescent="0.2">
      <c r="A26" s="118" t="s">
        <v>44</v>
      </c>
      <c r="B26" s="119" t="s">
        <v>167</v>
      </c>
      <c r="C26" s="120">
        <v>6769311.9782911399</v>
      </c>
      <c r="D26" s="120">
        <v>369689.84414321801</v>
      </c>
      <c r="E26" s="120">
        <v>12785.5299242565</v>
      </c>
      <c r="F26" s="120" t="s">
        <v>128</v>
      </c>
      <c r="G26" s="120">
        <v>21293.499866848098</v>
      </c>
      <c r="H26" s="120">
        <v>2535.7284790661001</v>
      </c>
      <c r="I26" s="120">
        <v>29769.711066518401</v>
      </c>
      <c r="J26" s="120">
        <v>1459.5122638697501</v>
      </c>
      <c r="K26" s="120">
        <v>20283.6328125</v>
      </c>
      <c r="L26" s="120">
        <v>58040.072498855799</v>
      </c>
      <c r="M26" s="120">
        <v>710480.18939000205</v>
      </c>
      <c r="N26" s="120">
        <v>3686120.6183220302</v>
      </c>
      <c r="O26" s="120">
        <v>6294.232421875</v>
      </c>
      <c r="P26" s="120">
        <v>863001.02574379998</v>
      </c>
      <c r="Q26" s="120">
        <v>901543.24733771698</v>
      </c>
      <c r="R26" s="120">
        <v>16736.5717555513</v>
      </c>
      <c r="S26" s="120">
        <v>8923.2735534039602</v>
      </c>
      <c r="T26" s="120">
        <v>2310.8073308591402</v>
      </c>
      <c r="U26" s="120">
        <v>260031.58368810601</v>
      </c>
    </row>
    <row r="27" spans="1:21" ht="16" x14ac:dyDescent="0.2">
      <c r="A27" s="118" t="s">
        <v>45</v>
      </c>
      <c r="B27" s="119" t="s">
        <v>167</v>
      </c>
      <c r="C27" s="120">
        <v>3201525.9382938901</v>
      </c>
      <c r="D27" s="120">
        <v>441046.81256565801</v>
      </c>
      <c r="E27" s="120">
        <v>4156.4288076655903</v>
      </c>
      <c r="F27" s="120">
        <v>111.12265913069</v>
      </c>
      <c r="G27" s="120">
        <v>12235.086272443201</v>
      </c>
      <c r="H27" s="120">
        <v>2181.8541353186802</v>
      </c>
      <c r="I27" s="120">
        <v>34485.175498801698</v>
      </c>
      <c r="J27" s="120">
        <v>52795.279303192998</v>
      </c>
      <c r="K27" s="120">
        <v>17220.322265625</v>
      </c>
      <c r="L27" s="120">
        <v>35449.314464265997</v>
      </c>
      <c r="M27" s="120">
        <v>456339.25691735302</v>
      </c>
      <c r="N27" s="120">
        <v>1974796.6935850701</v>
      </c>
      <c r="O27" s="120">
        <v>3139.30590820312</v>
      </c>
      <c r="P27" s="120">
        <v>305807.09127352497</v>
      </c>
      <c r="Q27" s="120">
        <v>495805.30097841</v>
      </c>
      <c r="R27" s="120">
        <v>9115.8672347452193</v>
      </c>
      <c r="S27" s="120">
        <v>3137.59879323114</v>
      </c>
      <c r="T27" s="120">
        <v>1972.19195906495</v>
      </c>
      <c r="U27" s="120">
        <v>173651.873343285</v>
      </c>
    </row>
    <row r="28" spans="1:21" ht="16" x14ac:dyDescent="0.2">
      <c r="A28" s="118" t="s">
        <v>46</v>
      </c>
      <c r="B28" s="119" t="s">
        <v>167</v>
      </c>
      <c r="C28" s="120">
        <v>4968207.0759362904</v>
      </c>
      <c r="D28" s="120">
        <v>580512.48951268301</v>
      </c>
      <c r="E28" s="120">
        <v>57374.900137584402</v>
      </c>
      <c r="F28" s="120" t="s">
        <v>128</v>
      </c>
      <c r="G28" s="120">
        <v>18910.206602358699</v>
      </c>
      <c r="H28" s="120">
        <v>2186.83243496559</v>
      </c>
      <c r="I28" s="120">
        <v>43939.337497772598</v>
      </c>
      <c r="J28" s="120">
        <v>44438.481564207301</v>
      </c>
      <c r="K28" s="120">
        <v>25993.5859375</v>
      </c>
      <c r="L28" s="120">
        <v>47750.389332108403</v>
      </c>
      <c r="M28" s="120">
        <v>1709609.88864015</v>
      </c>
      <c r="N28" s="120">
        <v>2789304.13672132</v>
      </c>
      <c r="O28" s="120" t="s">
        <v>128</v>
      </c>
      <c r="P28" s="120">
        <v>652577.35574610904</v>
      </c>
      <c r="Q28" s="120">
        <v>481455.126998697</v>
      </c>
      <c r="R28" s="120">
        <v>16823.824743188201</v>
      </c>
      <c r="S28" s="120">
        <v>8158.4252245441403</v>
      </c>
      <c r="T28" s="120">
        <v>1096.04142376556</v>
      </c>
      <c r="U28" s="120">
        <v>266683.02690509602</v>
      </c>
    </row>
    <row r="29" spans="1:21" ht="16" x14ac:dyDescent="0.2">
      <c r="A29" s="118" t="s">
        <v>47</v>
      </c>
      <c r="B29" s="119" t="s">
        <v>168</v>
      </c>
      <c r="C29" s="120">
        <v>852877.22132318397</v>
      </c>
      <c r="D29" s="120">
        <v>190559.513163319</v>
      </c>
      <c r="E29" s="120" t="s">
        <v>128</v>
      </c>
      <c r="F29" s="120" t="s">
        <v>128</v>
      </c>
      <c r="G29" s="120">
        <v>16629.8376075448</v>
      </c>
      <c r="H29" s="120">
        <v>1171.8650818651899</v>
      </c>
      <c r="I29" s="120">
        <v>251875.36617547099</v>
      </c>
      <c r="J29" s="120">
        <v>139315.37621404801</v>
      </c>
      <c r="K29" s="120">
        <v>27888.212890625</v>
      </c>
      <c r="L29" s="120">
        <v>26467.266863865199</v>
      </c>
      <c r="M29" s="120">
        <v>6188014.26440694</v>
      </c>
      <c r="N29" s="120">
        <v>1631834.33237321</v>
      </c>
      <c r="O29" s="120">
        <v>6455.6611328125</v>
      </c>
      <c r="P29" s="120">
        <v>1578259.45868542</v>
      </c>
      <c r="Q29" s="120">
        <v>585484.29410826205</v>
      </c>
      <c r="R29" s="120">
        <v>18508.0320730493</v>
      </c>
      <c r="S29" s="120">
        <v>9030.4714735959606</v>
      </c>
      <c r="T29" s="120">
        <v>15053.7278349881</v>
      </c>
      <c r="U29" s="120">
        <v>278042.88252157398</v>
      </c>
    </row>
    <row r="30" spans="1:21" ht="16" x14ac:dyDescent="0.2">
      <c r="A30" s="118" t="s">
        <v>48</v>
      </c>
      <c r="B30" s="119" t="s">
        <v>168</v>
      </c>
      <c r="C30" s="120">
        <v>752171.00749271805</v>
      </c>
      <c r="D30" s="120">
        <v>203040.113102737</v>
      </c>
      <c r="E30" s="120" t="s">
        <v>128</v>
      </c>
      <c r="F30" s="120" t="s">
        <v>128</v>
      </c>
      <c r="G30" s="120">
        <v>14859.640134220001</v>
      </c>
      <c r="H30" s="120">
        <v>1348.56024984796</v>
      </c>
      <c r="I30" s="120">
        <v>195743.64749811101</v>
      </c>
      <c r="J30" s="120">
        <v>68289.030689610707</v>
      </c>
      <c r="K30" s="120">
        <v>36090.4375</v>
      </c>
      <c r="L30" s="120">
        <v>24584.329208577099</v>
      </c>
      <c r="M30" s="120">
        <v>6567902.8549795998</v>
      </c>
      <c r="N30" s="120">
        <v>1475740.00910147</v>
      </c>
      <c r="O30" s="120">
        <v>2270.791015625</v>
      </c>
      <c r="P30" s="120">
        <v>1345522.5571262101</v>
      </c>
      <c r="Q30" s="120">
        <v>489269.290326546</v>
      </c>
      <c r="R30" s="120">
        <v>20213.511406230398</v>
      </c>
      <c r="S30" s="120">
        <v>6758.4972553767802</v>
      </c>
      <c r="T30" s="120">
        <v>14369.1736472341</v>
      </c>
      <c r="U30" s="120">
        <v>327632.77483073098</v>
      </c>
    </row>
    <row r="31" spans="1:21" ht="16" x14ac:dyDescent="0.2">
      <c r="A31" s="118" t="s">
        <v>49</v>
      </c>
      <c r="B31" s="119" t="s">
        <v>168</v>
      </c>
      <c r="C31" s="120">
        <v>664721.82608736795</v>
      </c>
      <c r="D31" s="120">
        <v>251438.30486308501</v>
      </c>
      <c r="E31" s="120" t="s">
        <v>128</v>
      </c>
      <c r="F31" s="120" t="s">
        <v>128</v>
      </c>
      <c r="G31" s="120">
        <v>16322.2666010381</v>
      </c>
      <c r="H31" s="120">
        <v>966.92995367539595</v>
      </c>
      <c r="I31" s="120">
        <v>255115.954258616</v>
      </c>
      <c r="J31" s="120">
        <v>69612.979774211504</v>
      </c>
      <c r="K31" s="120">
        <v>30680.83984375</v>
      </c>
      <c r="L31" s="120">
        <v>21881.213535228999</v>
      </c>
      <c r="M31" s="120">
        <v>8491902.4621942807</v>
      </c>
      <c r="N31" s="120">
        <v>1433783.18491711</v>
      </c>
      <c r="O31" s="120">
        <v>4267.6884765625</v>
      </c>
      <c r="P31" s="120">
        <v>1308141.81911549</v>
      </c>
      <c r="Q31" s="120">
        <v>407195.28385153098</v>
      </c>
      <c r="R31" s="120">
        <v>19200.392017260401</v>
      </c>
      <c r="S31" s="120">
        <v>8467.9039000709308</v>
      </c>
      <c r="T31" s="120">
        <v>14938.889038974699</v>
      </c>
      <c r="U31" s="120">
        <v>329473.867995943</v>
      </c>
    </row>
    <row r="32" spans="1:21" ht="16" x14ac:dyDescent="0.2">
      <c r="A32" s="118" t="s">
        <v>50</v>
      </c>
      <c r="B32" s="119" t="s">
        <v>169</v>
      </c>
      <c r="C32" s="120">
        <v>10209415.193709601</v>
      </c>
      <c r="D32" s="120">
        <v>232800.63204262499</v>
      </c>
      <c r="E32" s="120">
        <v>28259.135297900801</v>
      </c>
      <c r="F32" s="120">
        <v>106.998379685007</v>
      </c>
      <c r="G32" s="120">
        <v>23111.265735842098</v>
      </c>
      <c r="H32" s="120">
        <v>2903.7203861345602</v>
      </c>
      <c r="I32" s="120">
        <v>290079.47810387798</v>
      </c>
      <c r="J32" s="120">
        <v>85580.561892718702</v>
      </c>
      <c r="K32" s="120">
        <v>32149.859375</v>
      </c>
      <c r="L32" s="120">
        <v>28048.601319400099</v>
      </c>
      <c r="M32" s="120">
        <v>248179.61259378699</v>
      </c>
      <c r="N32" s="120">
        <v>1910763.7762985399</v>
      </c>
      <c r="O32" s="120">
        <v>7241.205078125</v>
      </c>
      <c r="P32" s="120">
        <v>626498.10168238601</v>
      </c>
      <c r="Q32" s="120">
        <v>1251698.1462356499</v>
      </c>
      <c r="R32" s="120">
        <v>20781.513488557699</v>
      </c>
      <c r="S32" s="120">
        <v>5959.0244149209302</v>
      </c>
      <c r="T32" s="120">
        <v>18548.952157817999</v>
      </c>
      <c r="U32" s="120">
        <v>384705.19455938297</v>
      </c>
    </row>
    <row r="33" spans="1:21" ht="16" x14ac:dyDescent="0.2">
      <c r="A33" s="118" t="s">
        <v>51</v>
      </c>
      <c r="B33" s="119" t="s">
        <v>169</v>
      </c>
      <c r="C33" s="120">
        <v>14273069.8960308</v>
      </c>
      <c r="D33" s="120">
        <v>238332.70174519499</v>
      </c>
      <c r="E33" s="120">
        <v>30486.893778743801</v>
      </c>
      <c r="F33" s="120" t="s">
        <v>128</v>
      </c>
      <c r="G33" s="120">
        <v>25037.594500631702</v>
      </c>
      <c r="H33" s="120">
        <v>2840.65035501283</v>
      </c>
      <c r="I33" s="120">
        <v>320472.70121455903</v>
      </c>
      <c r="J33" s="120">
        <v>112327.656664166</v>
      </c>
      <c r="K33" s="120">
        <v>35274.453125</v>
      </c>
      <c r="L33" s="120">
        <v>29066.482637294601</v>
      </c>
      <c r="M33" s="120">
        <v>319455.50154996401</v>
      </c>
      <c r="N33" s="120">
        <v>2299388.57397736</v>
      </c>
      <c r="O33" s="120">
        <v>6661.37158203125</v>
      </c>
      <c r="P33" s="120">
        <v>639137.15721482504</v>
      </c>
      <c r="Q33" s="120">
        <v>1380057.87833815</v>
      </c>
      <c r="R33" s="120">
        <v>23815.012645499901</v>
      </c>
      <c r="S33" s="120">
        <v>9314.8251853598194</v>
      </c>
      <c r="T33" s="120">
        <v>22628.428577367202</v>
      </c>
      <c r="U33" s="120">
        <v>395347.41590532201</v>
      </c>
    </row>
    <row r="34" spans="1:21" ht="16" x14ac:dyDescent="0.2">
      <c r="A34" s="118" t="s">
        <v>52</v>
      </c>
      <c r="B34" s="119" t="s">
        <v>169</v>
      </c>
      <c r="C34" s="120">
        <v>11257533.246424001</v>
      </c>
      <c r="D34" s="120">
        <v>205539.17704891</v>
      </c>
      <c r="E34" s="120">
        <v>34055.500524004798</v>
      </c>
      <c r="F34" s="120" t="s">
        <v>128</v>
      </c>
      <c r="G34" s="120">
        <v>25367.825167803599</v>
      </c>
      <c r="H34" s="120">
        <v>3114.7439297484402</v>
      </c>
      <c r="I34" s="120">
        <v>336679.685578526</v>
      </c>
      <c r="J34" s="120">
        <v>90013.524038810705</v>
      </c>
      <c r="K34" s="120">
        <v>30620.26953125</v>
      </c>
      <c r="L34" s="120">
        <v>28897.077528849801</v>
      </c>
      <c r="M34" s="120">
        <v>387589.87190552999</v>
      </c>
      <c r="N34" s="120">
        <v>2087701.8516502101</v>
      </c>
      <c r="O34" s="120">
        <v>6311.5361328125</v>
      </c>
      <c r="P34" s="120">
        <v>695464.40773526102</v>
      </c>
      <c r="Q34" s="120">
        <v>1732446.70764165</v>
      </c>
      <c r="R34" s="120">
        <v>23441.307158658001</v>
      </c>
      <c r="S34" s="120">
        <v>8746.1341783215794</v>
      </c>
      <c r="T34" s="120">
        <v>20145.847066024598</v>
      </c>
      <c r="U34" s="120">
        <v>424911.06461171299</v>
      </c>
    </row>
    <row r="35" spans="1:21" ht="16" x14ac:dyDescent="0.2">
      <c r="A35" s="118" t="s">
        <v>53</v>
      </c>
      <c r="B35" s="119" t="s">
        <v>170</v>
      </c>
      <c r="C35" s="120">
        <v>506903.08564102103</v>
      </c>
      <c r="D35" s="120">
        <v>1859494.6850371</v>
      </c>
      <c r="E35" s="120">
        <v>269623.60317545501</v>
      </c>
      <c r="F35" s="120" t="s">
        <v>128</v>
      </c>
      <c r="G35" s="120">
        <v>17876.190419243099</v>
      </c>
      <c r="H35" s="120">
        <v>2120.2197937844498</v>
      </c>
      <c r="I35" s="120">
        <v>226086.316895622</v>
      </c>
      <c r="J35" s="120">
        <v>85266.581025446896</v>
      </c>
      <c r="K35" s="120">
        <v>23891.76953125</v>
      </c>
      <c r="L35" s="120">
        <v>37922.432995913703</v>
      </c>
      <c r="M35" s="120">
        <v>235126.39063129699</v>
      </c>
      <c r="N35" s="120">
        <v>3515904.3918369398</v>
      </c>
      <c r="O35" s="120">
        <v>2838.12646484375</v>
      </c>
      <c r="P35" s="120">
        <v>375493.346015613</v>
      </c>
      <c r="Q35" s="120">
        <v>1016529.85626905</v>
      </c>
      <c r="R35" s="120">
        <v>25584.545355823899</v>
      </c>
      <c r="S35" s="120">
        <v>6242.22529719049</v>
      </c>
      <c r="T35" s="120">
        <v>13577.6674106876</v>
      </c>
      <c r="U35" s="120">
        <v>353704.22332047299</v>
      </c>
    </row>
    <row r="36" spans="1:21" ht="16" x14ac:dyDescent="0.2">
      <c r="A36" s="118" t="s">
        <v>54</v>
      </c>
      <c r="B36" s="119" t="s">
        <v>170</v>
      </c>
      <c r="C36" s="120">
        <v>7605568.7108789198</v>
      </c>
      <c r="D36" s="120">
        <v>949524.774373575</v>
      </c>
      <c r="E36" s="120">
        <v>314126.82906062697</v>
      </c>
      <c r="F36" s="120" t="s">
        <v>128</v>
      </c>
      <c r="G36" s="120">
        <v>21601.544949781201</v>
      </c>
      <c r="H36" s="120">
        <v>2261.9295856652302</v>
      </c>
      <c r="I36" s="120">
        <v>321370.24735898001</v>
      </c>
      <c r="J36" s="120">
        <v>104398.079661262</v>
      </c>
      <c r="K36" s="120">
        <v>27760.974609375</v>
      </c>
      <c r="L36" s="120">
        <v>45454.256102832202</v>
      </c>
      <c r="M36" s="120">
        <v>234893.29420898599</v>
      </c>
      <c r="N36" s="120">
        <v>4106584.8748154398</v>
      </c>
      <c r="O36" s="120">
        <v>4516.4130859375</v>
      </c>
      <c r="P36" s="120">
        <v>630381.89549910405</v>
      </c>
      <c r="Q36" s="120">
        <v>1271640.3416873</v>
      </c>
      <c r="R36" s="120">
        <v>26208.245996535799</v>
      </c>
      <c r="S36" s="120">
        <v>7867.7543306103798</v>
      </c>
      <c r="T36" s="120">
        <v>19358.777310767899</v>
      </c>
      <c r="U36" s="120">
        <v>373619.57516816299</v>
      </c>
    </row>
    <row r="37" spans="1:21" ht="16" x14ac:dyDescent="0.2">
      <c r="A37" s="118" t="s">
        <v>55</v>
      </c>
      <c r="B37" s="119" t="s">
        <v>170</v>
      </c>
      <c r="C37" s="120">
        <v>11155947.591554699</v>
      </c>
      <c r="D37" s="120">
        <v>1649037.60973067</v>
      </c>
      <c r="E37" s="120">
        <v>622775.41490473901</v>
      </c>
      <c r="F37" s="120" t="s">
        <v>128</v>
      </c>
      <c r="G37" s="120">
        <v>22238.358611724601</v>
      </c>
      <c r="H37" s="120">
        <v>2407.1501152634701</v>
      </c>
      <c r="I37" s="120">
        <v>328452.416244475</v>
      </c>
      <c r="J37" s="120">
        <v>87115.3185171691</v>
      </c>
      <c r="K37" s="120">
        <v>30981.255859375</v>
      </c>
      <c r="L37" s="120">
        <v>49387.667985946202</v>
      </c>
      <c r="M37" s="120">
        <v>303166.02895879402</v>
      </c>
      <c r="N37" s="120">
        <v>4396403.6282020397</v>
      </c>
      <c r="O37" s="120">
        <v>4152.0498046875</v>
      </c>
      <c r="P37" s="120">
        <v>472334.47489783203</v>
      </c>
      <c r="Q37" s="120">
        <v>1080491.17325</v>
      </c>
      <c r="R37" s="120">
        <v>28025.792218537401</v>
      </c>
      <c r="S37" s="120">
        <v>7152.7409909859498</v>
      </c>
      <c r="T37" s="120">
        <v>20247.293708030498</v>
      </c>
      <c r="U37" s="120">
        <v>386974.25627006299</v>
      </c>
    </row>
    <row r="38" spans="1:21" ht="16" x14ac:dyDescent="0.2">
      <c r="A38" s="118" t="s">
        <v>56</v>
      </c>
      <c r="B38" s="119" t="s">
        <v>171</v>
      </c>
      <c r="C38" s="120">
        <v>12068018.2998758</v>
      </c>
      <c r="D38" s="120">
        <v>2078373.2164785101</v>
      </c>
      <c r="E38" s="120">
        <v>42510.2314551323</v>
      </c>
      <c r="F38" s="120" t="s">
        <v>128</v>
      </c>
      <c r="G38" s="120">
        <v>64158.544345186499</v>
      </c>
      <c r="H38" s="120">
        <v>10615.2378337957</v>
      </c>
      <c r="I38" s="120">
        <v>2147589.0152776199</v>
      </c>
      <c r="J38" s="120">
        <v>713836.89350870298</v>
      </c>
      <c r="K38" s="120">
        <v>35836.9375</v>
      </c>
      <c r="L38" s="120">
        <v>81447.693588938506</v>
      </c>
      <c r="M38" s="120">
        <v>897078.146338235</v>
      </c>
      <c r="N38" s="120">
        <v>12482708.430231901</v>
      </c>
      <c r="O38" s="120">
        <v>33790.65234375</v>
      </c>
      <c r="P38" s="120">
        <v>2143514.4323314498</v>
      </c>
      <c r="Q38" s="120">
        <v>5681550.1071850704</v>
      </c>
      <c r="R38" s="120">
        <v>81212.874381841204</v>
      </c>
      <c r="S38" s="120">
        <v>24358.338193915701</v>
      </c>
      <c r="T38" s="120">
        <v>55575.874260974699</v>
      </c>
      <c r="U38" s="120">
        <v>494150.87119928101</v>
      </c>
    </row>
    <row r="39" spans="1:21" ht="16" x14ac:dyDescent="0.2">
      <c r="A39" s="118" t="s">
        <v>57</v>
      </c>
      <c r="B39" s="119" t="s">
        <v>171</v>
      </c>
      <c r="C39" s="120">
        <v>7884134.3408063203</v>
      </c>
      <c r="D39" s="120">
        <v>1781808.59602928</v>
      </c>
      <c r="E39" s="120">
        <v>51733.083482343602</v>
      </c>
      <c r="F39" s="120" t="s">
        <v>128</v>
      </c>
      <c r="G39" s="120">
        <v>70478.935585720697</v>
      </c>
      <c r="H39" s="120">
        <v>10835.3198226246</v>
      </c>
      <c r="I39" s="120">
        <v>2336045.44915399</v>
      </c>
      <c r="J39" s="120">
        <v>1221859.1693520099</v>
      </c>
      <c r="K39" s="120">
        <v>42439.96484375</v>
      </c>
      <c r="L39" s="120">
        <v>96706.669202629302</v>
      </c>
      <c r="M39" s="120">
        <v>1017011.98683975</v>
      </c>
      <c r="N39" s="120">
        <v>12587531.810351901</v>
      </c>
      <c r="O39" s="120">
        <v>36888.957491146699</v>
      </c>
      <c r="P39" s="120">
        <v>2192209.7700472502</v>
      </c>
      <c r="Q39" s="120">
        <v>5768453.9545646198</v>
      </c>
      <c r="R39" s="120">
        <v>91318.574754707399</v>
      </c>
      <c r="S39" s="120">
        <v>24747.794810274201</v>
      </c>
      <c r="T39" s="120">
        <v>58538.411413841299</v>
      </c>
      <c r="U39" s="120">
        <v>294596.79744699999</v>
      </c>
    </row>
    <row r="40" spans="1:21" ht="16" x14ac:dyDescent="0.2">
      <c r="A40" s="118" t="s">
        <v>58</v>
      </c>
      <c r="B40" s="119" t="s">
        <v>171</v>
      </c>
      <c r="C40" s="120">
        <v>22662221.7947198</v>
      </c>
      <c r="D40" s="120">
        <v>1530695.6875688599</v>
      </c>
      <c r="E40" s="120">
        <v>55089.697251199097</v>
      </c>
      <c r="F40" s="120" t="s">
        <v>128</v>
      </c>
      <c r="G40" s="120">
        <v>79952.546354406106</v>
      </c>
      <c r="H40" s="120">
        <v>10940.6563533892</v>
      </c>
      <c r="I40" s="120">
        <v>2272737.0222279299</v>
      </c>
      <c r="J40" s="120">
        <v>910547.91455991403</v>
      </c>
      <c r="K40" s="120">
        <v>62510.453125</v>
      </c>
      <c r="L40" s="120">
        <v>87147.102095378796</v>
      </c>
      <c r="M40" s="120">
        <v>1244764.80746592</v>
      </c>
      <c r="N40" s="120">
        <v>14213057.0842211</v>
      </c>
      <c r="O40" s="120">
        <v>45957.926331522402</v>
      </c>
      <c r="P40" s="120">
        <v>2976593.1793715102</v>
      </c>
      <c r="Q40" s="120">
        <v>5406453.0109233297</v>
      </c>
      <c r="R40" s="120">
        <v>86105.296796336697</v>
      </c>
      <c r="S40" s="120">
        <v>27935.665631817101</v>
      </c>
      <c r="T40" s="120">
        <v>71898.458018382298</v>
      </c>
      <c r="U40" s="120">
        <v>551299.72414919594</v>
      </c>
    </row>
    <row r="41" spans="1:21" ht="16" x14ac:dyDescent="0.2">
      <c r="A41" s="118" t="s">
        <v>59</v>
      </c>
      <c r="B41" s="119" t="s">
        <v>172</v>
      </c>
      <c r="C41" s="120">
        <v>5914.7684440957</v>
      </c>
      <c r="D41" s="120">
        <v>98102.697282452296</v>
      </c>
      <c r="E41" s="120" t="s">
        <v>128</v>
      </c>
      <c r="F41" s="120" t="s">
        <v>128</v>
      </c>
      <c r="G41" s="120">
        <v>18446.030950552798</v>
      </c>
      <c r="H41" s="120">
        <v>1185.78578462051</v>
      </c>
      <c r="I41" s="120">
        <v>491682.42686576198</v>
      </c>
      <c r="J41" s="120">
        <v>530320.15746867203</v>
      </c>
      <c r="K41" s="120">
        <v>103731.3359375</v>
      </c>
      <c r="L41" s="120">
        <v>17329.467831953902</v>
      </c>
      <c r="M41" s="120">
        <v>27529656.439726301</v>
      </c>
      <c r="N41" s="120">
        <v>1352175.56379371</v>
      </c>
      <c r="O41" s="120">
        <v>12547.896484375</v>
      </c>
      <c r="P41" s="120">
        <v>4974710.9708444998</v>
      </c>
      <c r="Q41" s="120">
        <v>1045174.20027997</v>
      </c>
      <c r="R41" s="120">
        <v>44421.2861201091</v>
      </c>
      <c r="S41" s="120">
        <v>5153.8200501025804</v>
      </c>
      <c r="T41" s="120">
        <v>39802.408094112499</v>
      </c>
      <c r="U41" s="120">
        <v>805313.61842872296</v>
      </c>
    </row>
    <row r="42" spans="1:21" ht="16" x14ac:dyDescent="0.2">
      <c r="A42" s="118" t="s">
        <v>60</v>
      </c>
      <c r="B42" s="119" t="s">
        <v>172</v>
      </c>
      <c r="C42" s="120">
        <v>742375.24606387399</v>
      </c>
      <c r="D42" s="120">
        <v>96534.382328221604</v>
      </c>
      <c r="E42" s="120" t="s">
        <v>128</v>
      </c>
      <c r="F42" s="120" t="s">
        <v>128</v>
      </c>
      <c r="G42" s="120">
        <v>15170.778322058901</v>
      </c>
      <c r="H42" s="120">
        <v>802.01958032204004</v>
      </c>
      <c r="I42" s="120">
        <v>526201.88446905301</v>
      </c>
      <c r="J42" s="120">
        <v>712370.68774599396</v>
      </c>
      <c r="K42" s="120">
        <v>82582.453125</v>
      </c>
      <c r="L42" s="120">
        <v>13312.0080960959</v>
      </c>
      <c r="M42" s="120">
        <v>19011339.146935299</v>
      </c>
      <c r="N42" s="120">
        <v>1056007.1266894401</v>
      </c>
      <c r="O42" s="120">
        <v>27763.091546441701</v>
      </c>
      <c r="P42" s="120">
        <v>4722144.9026443101</v>
      </c>
      <c r="Q42" s="120">
        <v>1112168.9639045601</v>
      </c>
      <c r="R42" s="120">
        <v>29147.9647875302</v>
      </c>
      <c r="S42" s="120">
        <v>1760.6317873130299</v>
      </c>
      <c r="T42" s="120">
        <v>33528.196642824201</v>
      </c>
      <c r="U42" s="120">
        <v>669316.85174910096</v>
      </c>
    </row>
    <row r="43" spans="1:21" ht="16" x14ac:dyDescent="0.2">
      <c r="A43" s="118" t="s">
        <v>61</v>
      </c>
      <c r="B43" s="119" t="s">
        <v>172</v>
      </c>
      <c r="C43" s="120">
        <v>248738.20837068101</v>
      </c>
      <c r="D43" s="120">
        <v>207604.92723044299</v>
      </c>
      <c r="E43" s="120" t="s">
        <v>128</v>
      </c>
      <c r="F43" s="120" t="s">
        <v>128</v>
      </c>
      <c r="G43" s="120">
        <v>7176.8923956553199</v>
      </c>
      <c r="H43" s="120">
        <v>276.64137887849103</v>
      </c>
      <c r="I43" s="120">
        <v>232975.16692623499</v>
      </c>
      <c r="J43" s="120">
        <v>183573.13089054899</v>
      </c>
      <c r="K43" s="120">
        <v>37790.1171875</v>
      </c>
      <c r="L43" s="120">
        <v>6262.3190347550499</v>
      </c>
      <c r="M43" s="120">
        <v>8493678.6700425204</v>
      </c>
      <c r="N43" s="120">
        <v>443557.15545159898</v>
      </c>
      <c r="O43" s="120">
        <v>7952.33251953125</v>
      </c>
      <c r="P43" s="120">
        <v>1260813.11387992</v>
      </c>
      <c r="Q43" s="120">
        <v>733423.023058458</v>
      </c>
      <c r="R43" s="120">
        <v>14218.665534841601</v>
      </c>
      <c r="S43" s="120" t="s">
        <v>128</v>
      </c>
      <c r="T43" s="120">
        <v>10905.2586575408</v>
      </c>
      <c r="U43" s="120">
        <v>443753.902401531</v>
      </c>
    </row>
    <row r="44" spans="1:21" ht="16" x14ac:dyDescent="0.2">
      <c r="A44" s="118" t="s">
        <v>62</v>
      </c>
      <c r="B44" s="119" t="s">
        <v>173</v>
      </c>
      <c r="C44" s="120">
        <v>31486416.7817045</v>
      </c>
      <c r="D44" s="120">
        <v>91186.176557522995</v>
      </c>
      <c r="E44" s="120">
        <v>135805.351555862</v>
      </c>
      <c r="F44" s="120" t="s">
        <v>128</v>
      </c>
      <c r="G44" s="120">
        <v>67995.858305936898</v>
      </c>
      <c r="H44" s="120">
        <v>8592.9718231207407</v>
      </c>
      <c r="I44" s="120">
        <v>364699.04245959601</v>
      </c>
      <c r="J44" s="120">
        <v>520346.020830516</v>
      </c>
      <c r="K44" s="120">
        <v>70905.6484375</v>
      </c>
      <c r="L44" s="120">
        <v>17166.868518110801</v>
      </c>
      <c r="M44" s="120">
        <v>570983.06975805003</v>
      </c>
      <c r="N44" s="120">
        <v>1228341.77117288</v>
      </c>
      <c r="O44" s="120">
        <v>34018.449288988399</v>
      </c>
      <c r="P44" s="120">
        <v>1775885.27448819</v>
      </c>
      <c r="Q44" s="120">
        <v>3782843.2089998</v>
      </c>
      <c r="R44" s="120">
        <v>47566.090815475698</v>
      </c>
      <c r="S44" s="120">
        <v>1305.1777504372101</v>
      </c>
      <c r="T44" s="120">
        <v>34161.144076632299</v>
      </c>
      <c r="U44" s="120">
        <v>621199.85776705097</v>
      </c>
    </row>
    <row r="45" spans="1:21" ht="16" x14ac:dyDescent="0.2">
      <c r="A45" s="118" t="s">
        <v>63</v>
      </c>
      <c r="B45" s="119" t="s">
        <v>173</v>
      </c>
      <c r="C45" s="120">
        <v>17200572.520864502</v>
      </c>
      <c r="D45" s="120">
        <v>114149.96667736401</v>
      </c>
      <c r="E45" s="120">
        <v>126615.56465164199</v>
      </c>
      <c r="F45" s="120" t="s">
        <v>128</v>
      </c>
      <c r="G45" s="120">
        <v>72944.812728234407</v>
      </c>
      <c r="H45" s="120">
        <v>8168.6417561297303</v>
      </c>
      <c r="I45" s="120">
        <v>410353.90852235199</v>
      </c>
      <c r="J45" s="120">
        <v>828553.66172949597</v>
      </c>
      <c r="K45" s="120">
        <v>73464.078125</v>
      </c>
      <c r="L45" s="120">
        <v>18393.858488952799</v>
      </c>
      <c r="M45" s="120">
        <v>621970.26719140902</v>
      </c>
      <c r="N45" s="120">
        <v>1350916.44917164</v>
      </c>
      <c r="O45" s="120">
        <v>41233.4921875</v>
      </c>
      <c r="P45" s="120">
        <v>2374101.3483671201</v>
      </c>
      <c r="Q45" s="120">
        <v>3684581.6145583</v>
      </c>
      <c r="R45" s="120">
        <v>43866.863852789502</v>
      </c>
      <c r="S45" s="120">
        <v>4476.54581379512</v>
      </c>
      <c r="T45" s="120">
        <v>44122.530630912603</v>
      </c>
      <c r="U45" s="120">
        <v>627632.23811521404</v>
      </c>
    </row>
    <row r="46" spans="1:21" ht="16" x14ac:dyDescent="0.2">
      <c r="A46" s="118" t="s">
        <v>64</v>
      </c>
      <c r="B46" s="119" t="s">
        <v>173</v>
      </c>
      <c r="C46" s="120">
        <v>15457632.8098843</v>
      </c>
      <c r="D46" s="120">
        <v>271907.715426724</v>
      </c>
      <c r="E46" s="120">
        <v>111934.44930022499</v>
      </c>
      <c r="F46" s="120" t="s">
        <v>128</v>
      </c>
      <c r="G46" s="120">
        <v>70946.769321817803</v>
      </c>
      <c r="H46" s="120">
        <v>8979.3580996233304</v>
      </c>
      <c r="I46" s="120">
        <v>407422.07398293901</v>
      </c>
      <c r="J46" s="120">
        <v>456683.11600764602</v>
      </c>
      <c r="K46" s="120">
        <v>85955.703125</v>
      </c>
      <c r="L46" s="120">
        <v>19096.414803021398</v>
      </c>
      <c r="M46" s="120">
        <v>635600.86997363099</v>
      </c>
      <c r="N46" s="120">
        <v>1425794.9640067201</v>
      </c>
      <c r="O46" s="120">
        <v>34166.173497571202</v>
      </c>
      <c r="P46" s="120">
        <v>2187252.4102306701</v>
      </c>
      <c r="Q46" s="120">
        <v>5095193.4444134897</v>
      </c>
      <c r="R46" s="120">
        <v>55109.577078457201</v>
      </c>
      <c r="S46" s="120">
        <v>3910.2774322983901</v>
      </c>
      <c r="T46" s="120">
        <v>38408.877604956702</v>
      </c>
      <c r="U46" s="120">
        <v>710107.17607250297</v>
      </c>
    </row>
    <row r="47" spans="1:21" ht="16" x14ac:dyDescent="0.2">
      <c r="A47" s="118" t="s">
        <v>65</v>
      </c>
      <c r="B47" s="119" t="s">
        <v>174</v>
      </c>
      <c r="C47" s="120">
        <v>14749032.683540201</v>
      </c>
      <c r="D47" s="120">
        <v>6357940.9726995397</v>
      </c>
      <c r="E47" s="120">
        <v>750001.01098241797</v>
      </c>
      <c r="F47" s="120" t="s">
        <v>128</v>
      </c>
      <c r="G47" s="120">
        <v>67001.990473522994</v>
      </c>
      <c r="H47" s="120">
        <v>8084.6573918505301</v>
      </c>
      <c r="I47" s="120">
        <v>1373708.57833817</v>
      </c>
      <c r="J47" s="120">
        <v>549533.24812329898</v>
      </c>
      <c r="K47" s="120">
        <v>72421.3359375</v>
      </c>
      <c r="L47" s="120">
        <v>106533.26112427301</v>
      </c>
      <c r="M47" s="120">
        <v>630722.87806316302</v>
      </c>
      <c r="N47" s="120">
        <v>14067521.5018238</v>
      </c>
      <c r="O47" s="120">
        <v>42270.375353281903</v>
      </c>
      <c r="P47" s="120">
        <v>1552450.0236887301</v>
      </c>
      <c r="Q47" s="120">
        <v>3509382.3804929298</v>
      </c>
      <c r="R47" s="120">
        <v>92657.339284110698</v>
      </c>
      <c r="S47" s="120">
        <v>25087.120930741599</v>
      </c>
      <c r="T47" s="120">
        <v>57061.646360081599</v>
      </c>
      <c r="U47" s="120">
        <v>515015.61604289402</v>
      </c>
    </row>
    <row r="48" spans="1:21" ht="16" x14ac:dyDescent="0.2">
      <c r="A48" s="118" t="s">
        <v>66</v>
      </c>
      <c r="B48" s="119" t="s">
        <v>174</v>
      </c>
      <c r="C48" s="120">
        <v>8928515.6241165604</v>
      </c>
      <c r="D48" s="120">
        <v>3296181.5398331699</v>
      </c>
      <c r="E48" s="120">
        <v>348057.16518841201</v>
      </c>
      <c r="F48" s="120" t="s">
        <v>128</v>
      </c>
      <c r="G48" s="120">
        <v>54305.282474449501</v>
      </c>
      <c r="H48" s="120">
        <v>6343.4680990727502</v>
      </c>
      <c r="I48" s="120">
        <v>1162512.55202078</v>
      </c>
      <c r="J48" s="120">
        <v>669700.15161769802</v>
      </c>
      <c r="K48" s="120">
        <v>51507.1875</v>
      </c>
      <c r="L48" s="120">
        <v>88750.064673156696</v>
      </c>
      <c r="M48" s="120">
        <v>655805.46183077001</v>
      </c>
      <c r="N48" s="120">
        <v>12294752.9047454</v>
      </c>
      <c r="O48" s="120">
        <v>22432.91015625</v>
      </c>
      <c r="P48" s="120">
        <v>1845446.9680639401</v>
      </c>
      <c r="Q48" s="120">
        <v>3514307.5743975099</v>
      </c>
      <c r="R48" s="120">
        <v>68922.456025305597</v>
      </c>
      <c r="S48" s="120">
        <v>16641.585206288401</v>
      </c>
      <c r="T48" s="120">
        <v>57527.364574132102</v>
      </c>
      <c r="U48" s="120">
        <v>534954.37075240305</v>
      </c>
    </row>
    <row r="49" spans="1:21" ht="16" x14ac:dyDescent="0.2">
      <c r="A49" s="118" t="s">
        <v>67</v>
      </c>
      <c r="B49" s="119" t="s">
        <v>174</v>
      </c>
      <c r="C49" s="120">
        <v>12628864.3014965</v>
      </c>
      <c r="D49" s="120">
        <v>4275169.9161326801</v>
      </c>
      <c r="E49" s="120">
        <v>483731.44168298098</v>
      </c>
      <c r="F49" s="120" t="s">
        <v>128</v>
      </c>
      <c r="G49" s="120">
        <v>61766.738438778601</v>
      </c>
      <c r="H49" s="120">
        <v>6969.3350261678597</v>
      </c>
      <c r="I49" s="120">
        <v>1294519.40451438</v>
      </c>
      <c r="J49" s="120">
        <v>525852.34348021005</v>
      </c>
      <c r="K49" s="120">
        <v>65944.5234375</v>
      </c>
      <c r="L49" s="120">
        <v>94583.099609445606</v>
      </c>
      <c r="M49" s="120">
        <v>426133.89735398599</v>
      </c>
      <c r="N49" s="120">
        <v>11481684.525394799</v>
      </c>
      <c r="O49" s="120">
        <v>38286.3574950088</v>
      </c>
      <c r="P49" s="120">
        <v>1460128.42370147</v>
      </c>
      <c r="Q49" s="120">
        <v>3158583.5750528299</v>
      </c>
      <c r="R49" s="120">
        <v>69677.513735695204</v>
      </c>
      <c r="S49" s="120">
        <v>19341.624205968699</v>
      </c>
      <c r="T49" s="120">
        <v>54054.3684271979</v>
      </c>
      <c r="U49" s="120">
        <v>481084.24033300602</v>
      </c>
    </row>
    <row r="50" spans="1:21" x14ac:dyDescent="0.2">
      <c r="A50" s="118" t="s">
        <v>101</v>
      </c>
      <c r="B50" s="62"/>
      <c r="C50" s="120">
        <v>955973.41832585505</v>
      </c>
      <c r="D50" s="120">
        <v>1778789.8368025301</v>
      </c>
      <c r="E50" s="120">
        <v>9143.2218448017793</v>
      </c>
      <c r="F50" s="120">
        <v>701875.26020364999</v>
      </c>
      <c r="G50" s="120">
        <v>8362035.9018528797</v>
      </c>
      <c r="H50" s="120">
        <v>38763.188601503403</v>
      </c>
      <c r="I50" s="120" t="s">
        <v>128</v>
      </c>
      <c r="J50" s="120">
        <v>717349.20455352496</v>
      </c>
      <c r="K50" s="120">
        <v>14270.0888671875</v>
      </c>
      <c r="L50" s="120">
        <v>392455.69304926001</v>
      </c>
      <c r="M50" s="120">
        <v>488111.43012134801</v>
      </c>
      <c r="N50" s="120">
        <v>13117702.5820137</v>
      </c>
      <c r="O50" s="120" t="s">
        <v>128</v>
      </c>
      <c r="P50" s="120">
        <v>49639.5102157484</v>
      </c>
      <c r="Q50" s="120">
        <v>550788.752078388</v>
      </c>
      <c r="R50" s="120" t="s">
        <v>128</v>
      </c>
      <c r="S50" s="120" t="s">
        <v>128</v>
      </c>
      <c r="T50" s="120" t="s">
        <v>128</v>
      </c>
      <c r="U50" s="120">
        <v>7695371.0919264797</v>
      </c>
    </row>
    <row r="51" spans="1:21" x14ac:dyDescent="0.2">
      <c r="A51" s="118" t="s">
        <v>102</v>
      </c>
      <c r="B51" s="62"/>
      <c r="C51" s="120">
        <v>8933.3385832158401</v>
      </c>
      <c r="D51" s="120">
        <v>1223692.7865601799</v>
      </c>
      <c r="E51" s="120">
        <v>2637.3024169525602</v>
      </c>
      <c r="F51" s="120">
        <v>290743.00831934798</v>
      </c>
      <c r="G51" s="120">
        <v>3214286.2153512202</v>
      </c>
      <c r="H51" s="120">
        <v>17412.692514458398</v>
      </c>
      <c r="I51" s="120" t="s">
        <v>128</v>
      </c>
      <c r="J51" s="120">
        <v>285271.76313165802</v>
      </c>
      <c r="K51" s="120">
        <v>2987.86474609375</v>
      </c>
      <c r="L51" s="120">
        <v>165538.99069758601</v>
      </c>
      <c r="M51" s="120">
        <v>199745.709645172</v>
      </c>
      <c r="N51" s="120">
        <v>5455760.0757170096</v>
      </c>
      <c r="O51" s="120" t="s">
        <v>128</v>
      </c>
      <c r="P51" s="120">
        <v>18370.981892959</v>
      </c>
      <c r="Q51" s="120">
        <v>184578.52014823601</v>
      </c>
      <c r="R51" s="120" t="s">
        <v>128</v>
      </c>
      <c r="S51" s="120" t="s">
        <v>128</v>
      </c>
      <c r="T51" s="120" t="s">
        <v>128</v>
      </c>
      <c r="U51" s="120">
        <v>2910637.0645103301</v>
      </c>
    </row>
    <row r="52" spans="1:21" x14ac:dyDescent="0.2">
      <c r="A52" s="118" t="s">
        <v>103</v>
      </c>
      <c r="B52" s="62"/>
      <c r="C52" s="120">
        <v>947158.22990103799</v>
      </c>
      <c r="D52" s="120">
        <v>645307.99978239404</v>
      </c>
      <c r="E52" s="120" t="s">
        <v>128</v>
      </c>
      <c r="F52" s="120">
        <v>110872.25436828</v>
      </c>
      <c r="G52" s="120">
        <v>1156680.4025419599</v>
      </c>
      <c r="H52" s="120">
        <v>7981.7666829333302</v>
      </c>
      <c r="I52" s="120" t="s">
        <v>128</v>
      </c>
      <c r="J52" s="120">
        <v>1347.36536323928</v>
      </c>
      <c r="K52" s="120">
        <v>1988.830078125</v>
      </c>
      <c r="L52" s="120">
        <v>66232.022364639095</v>
      </c>
      <c r="M52" s="120">
        <v>83073.877949366797</v>
      </c>
      <c r="N52" s="120">
        <v>1804327.8746215301</v>
      </c>
      <c r="O52" s="120" t="s">
        <v>128</v>
      </c>
      <c r="P52" s="120">
        <v>6758.1586103162399</v>
      </c>
      <c r="Q52" s="120">
        <v>62272.702186844297</v>
      </c>
      <c r="R52" s="120" t="s">
        <v>128</v>
      </c>
      <c r="S52" s="120" t="s">
        <v>128</v>
      </c>
      <c r="T52" s="120" t="s">
        <v>128</v>
      </c>
      <c r="U52" s="120">
        <v>812759.80615067901</v>
      </c>
    </row>
    <row r="53" spans="1:21" x14ac:dyDescent="0.2">
      <c r="A53" s="118" t="s">
        <v>104</v>
      </c>
      <c r="B53" s="62"/>
      <c r="C53" s="120">
        <v>988902.36910799996</v>
      </c>
      <c r="D53" s="120">
        <v>687183.57642796205</v>
      </c>
      <c r="E53" s="120" t="s">
        <v>128</v>
      </c>
      <c r="F53" s="120">
        <v>47396.921227126899</v>
      </c>
      <c r="G53" s="120">
        <v>405032.901465578</v>
      </c>
      <c r="H53" s="120">
        <v>4412.3613805934201</v>
      </c>
      <c r="I53" s="120" t="s">
        <v>128</v>
      </c>
      <c r="J53" s="120">
        <v>1018.11566517542</v>
      </c>
      <c r="K53" s="120" t="s">
        <v>128</v>
      </c>
      <c r="L53" s="120">
        <v>25783.504915605801</v>
      </c>
      <c r="M53" s="120">
        <v>28136.939830524501</v>
      </c>
      <c r="N53" s="120">
        <v>610176.50627551205</v>
      </c>
      <c r="O53" s="120" t="s">
        <v>128</v>
      </c>
      <c r="P53" s="120">
        <v>1260.0463327351099</v>
      </c>
      <c r="Q53" s="120">
        <v>20183.677304166398</v>
      </c>
      <c r="R53" s="120" t="s">
        <v>128</v>
      </c>
      <c r="S53" s="120" t="s">
        <v>128</v>
      </c>
      <c r="T53" s="120" t="s">
        <v>128</v>
      </c>
      <c r="U53" s="120">
        <v>227136.47072770001</v>
      </c>
    </row>
    <row r="54" spans="1:21" x14ac:dyDescent="0.2">
      <c r="A54" s="118" t="s">
        <v>105</v>
      </c>
      <c r="B54" s="62"/>
      <c r="C54" s="120">
        <v>942987.04830054496</v>
      </c>
      <c r="D54" s="120">
        <v>410002.57272993599</v>
      </c>
      <c r="E54" s="120" t="s">
        <v>128</v>
      </c>
      <c r="F54" s="120">
        <v>19204.540578521999</v>
      </c>
      <c r="G54" s="120">
        <v>164454.57927566601</v>
      </c>
      <c r="H54" s="120">
        <v>3246.6236087700399</v>
      </c>
      <c r="I54" s="120" t="s">
        <v>128</v>
      </c>
      <c r="J54" s="120">
        <v>718.46371563776404</v>
      </c>
      <c r="K54" s="120" t="s">
        <v>128</v>
      </c>
      <c r="L54" s="120">
        <v>10076.4051808737</v>
      </c>
      <c r="M54" s="120">
        <v>1055.15515946603</v>
      </c>
      <c r="N54" s="120">
        <v>242478.600354628</v>
      </c>
      <c r="O54" s="120" t="s">
        <v>128</v>
      </c>
      <c r="P54" s="120">
        <v>1325.1705689886001</v>
      </c>
      <c r="Q54" s="120">
        <v>7639.6016495721697</v>
      </c>
      <c r="R54" s="120" t="s">
        <v>128</v>
      </c>
      <c r="S54" s="120" t="s">
        <v>128</v>
      </c>
      <c r="T54" s="120" t="s">
        <v>128</v>
      </c>
      <c r="U54" s="120">
        <v>57111.241212685702</v>
      </c>
    </row>
    <row r="55" spans="1:21" x14ac:dyDescent="0.2">
      <c r="A55" s="118" t="s">
        <v>106</v>
      </c>
      <c r="B55" s="62"/>
      <c r="C55" s="120">
        <v>978868.68717326305</v>
      </c>
      <c r="D55" s="120">
        <v>745606.37225686596</v>
      </c>
      <c r="E55" s="120" t="s">
        <v>128</v>
      </c>
      <c r="F55" s="120">
        <v>9042.4105386545507</v>
      </c>
      <c r="G55" s="120">
        <v>62473.325852396803</v>
      </c>
      <c r="H55" s="120">
        <v>3088.7747781025801</v>
      </c>
      <c r="I55" s="120" t="s">
        <v>128</v>
      </c>
      <c r="J55" s="120">
        <v>1529.4090591622901</v>
      </c>
      <c r="K55" s="120">
        <v>7385.0947265625</v>
      </c>
      <c r="L55" s="120">
        <v>4002.0556802846199</v>
      </c>
      <c r="M55" s="120">
        <v>2725.6930484661598</v>
      </c>
      <c r="N55" s="120">
        <v>96190.866465720697</v>
      </c>
      <c r="O55" s="120" t="s">
        <v>128</v>
      </c>
      <c r="P55" s="120">
        <v>576.67886128298403</v>
      </c>
      <c r="Q55" s="120">
        <v>3342.93609347849</v>
      </c>
      <c r="R55" s="120" t="s">
        <v>128</v>
      </c>
      <c r="S55" s="120" t="s">
        <v>128</v>
      </c>
      <c r="T55" s="120" t="s">
        <v>128</v>
      </c>
      <c r="U55" s="120">
        <v>29036.5666860569</v>
      </c>
    </row>
    <row r="56" spans="1:21" x14ac:dyDescent="0.2">
      <c r="A56" s="118" t="s">
        <v>107</v>
      </c>
      <c r="B56" s="62"/>
      <c r="C56" s="120">
        <v>953200.38222614804</v>
      </c>
      <c r="D56" s="120">
        <v>486160.19956968701</v>
      </c>
      <c r="E56" s="120" t="s">
        <v>128</v>
      </c>
      <c r="F56" s="120">
        <v>3489.5345537739399</v>
      </c>
      <c r="G56" s="120">
        <v>24083.083557488098</v>
      </c>
      <c r="H56" s="120">
        <v>977.34694532020001</v>
      </c>
      <c r="I56" s="120" t="s">
        <v>128</v>
      </c>
      <c r="J56" s="120">
        <v>849.86975257566905</v>
      </c>
      <c r="K56" s="120" t="s">
        <v>128</v>
      </c>
      <c r="L56" s="120">
        <v>1757.8147432257199</v>
      </c>
      <c r="M56" s="120">
        <v>2719.6830979363799</v>
      </c>
      <c r="N56" s="120">
        <v>37420.225919184697</v>
      </c>
      <c r="O56" s="120" t="s">
        <v>128</v>
      </c>
      <c r="P56" s="120">
        <v>250.54919303787099</v>
      </c>
      <c r="Q56" s="120">
        <v>1471.8155738902601</v>
      </c>
      <c r="R56" s="120" t="s">
        <v>128</v>
      </c>
      <c r="S56" s="120" t="s">
        <v>128</v>
      </c>
      <c r="T56" s="120" t="s">
        <v>128</v>
      </c>
      <c r="U56" s="120">
        <v>9583.7230946881791</v>
      </c>
    </row>
    <row r="57" spans="1:21" x14ac:dyDescent="0.2">
      <c r="A57" s="118" t="s">
        <v>108</v>
      </c>
      <c r="B57" s="62"/>
      <c r="C57" s="120">
        <v>1011706.01428307</v>
      </c>
      <c r="D57" s="120">
        <v>235976.905623517</v>
      </c>
      <c r="E57" s="120" t="s">
        <v>128</v>
      </c>
      <c r="F57" s="120">
        <v>1072.38503267806</v>
      </c>
      <c r="G57" s="120">
        <v>9354.1205248515798</v>
      </c>
      <c r="H57" s="120">
        <v>290.16868446942402</v>
      </c>
      <c r="I57" s="120" t="s">
        <v>128</v>
      </c>
      <c r="J57" s="120">
        <v>676.08342361506004</v>
      </c>
      <c r="K57" s="120" t="s">
        <v>128</v>
      </c>
      <c r="L57" s="120">
        <v>963.709904100735</v>
      </c>
      <c r="M57" s="120">
        <v>735.90136269660604</v>
      </c>
      <c r="N57" s="120">
        <v>14813.1876506519</v>
      </c>
      <c r="O57" s="120" t="s">
        <v>128</v>
      </c>
      <c r="P57" s="120">
        <v>104.667926595194</v>
      </c>
      <c r="Q57" s="120">
        <v>789.04332915941905</v>
      </c>
      <c r="R57" s="120" t="s">
        <v>128</v>
      </c>
      <c r="S57" s="120" t="s">
        <v>128</v>
      </c>
      <c r="T57" s="120" t="s">
        <v>128</v>
      </c>
      <c r="U57" s="120">
        <v>1595.0867580326901</v>
      </c>
    </row>
    <row r="58" spans="1:21" x14ac:dyDescent="0.2">
      <c r="A58" s="118" t="s">
        <v>112</v>
      </c>
      <c r="B58" s="62"/>
      <c r="C58" s="120">
        <v>888053.43686856295</v>
      </c>
      <c r="D58" s="120">
        <v>455060.29324560601</v>
      </c>
      <c r="E58" s="120">
        <v>3452490.1300150501</v>
      </c>
      <c r="F58" s="120">
        <v>50053.551415449198</v>
      </c>
      <c r="G58" s="120" t="s">
        <v>128</v>
      </c>
      <c r="H58" s="120">
        <v>9380868.46003584</v>
      </c>
      <c r="I58" s="120" t="s">
        <v>128</v>
      </c>
      <c r="J58" s="120">
        <v>684.39624105813505</v>
      </c>
      <c r="K58" s="120">
        <v>2034.35852050781</v>
      </c>
      <c r="L58" s="120" t="s">
        <v>128</v>
      </c>
      <c r="M58" s="120">
        <v>276005.021216719</v>
      </c>
      <c r="N58" s="120">
        <v>3881.84345966929</v>
      </c>
      <c r="O58" s="120">
        <v>408625.78294235701</v>
      </c>
      <c r="P58" s="120">
        <v>1133508.1251890601</v>
      </c>
      <c r="Q58" s="120">
        <v>834.44678842226699</v>
      </c>
      <c r="R58" s="120" t="s">
        <v>128</v>
      </c>
      <c r="S58" s="120" t="s">
        <v>128</v>
      </c>
      <c r="T58" s="120" t="s">
        <v>128</v>
      </c>
      <c r="U58" s="120">
        <v>2373.6278178071502</v>
      </c>
    </row>
    <row r="59" spans="1:21" x14ac:dyDescent="0.2">
      <c r="A59" s="118" t="s">
        <v>113</v>
      </c>
      <c r="B59" s="62"/>
      <c r="C59" s="120">
        <v>5700.7131901295097</v>
      </c>
      <c r="D59" s="120">
        <v>458338.03915998101</v>
      </c>
      <c r="E59" s="120">
        <v>1391405.8428442399</v>
      </c>
      <c r="F59" s="120">
        <v>19706.065634141101</v>
      </c>
      <c r="G59" s="120" t="s">
        <v>128</v>
      </c>
      <c r="H59" s="120">
        <v>3378405.8124538399</v>
      </c>
      <c r="I59" s="120" t="s">
        <v>128</v>
      </c>
      <c r="J59" s="120">
        <v>932.33351263689599</v>
      </c>
      <c r="K59" s="120">
        <v>1203.52038574218</v>
      </c>
      <c r="L59" s="120">
        <v>243.55403042862599</v>
      </c>
      <c r="M59" s="120">
        <v>111919.19628641701</v>
      </c>
      <c r="N59" s="120">
        <v>2075.7615053836398</v>
      </c>
      <c r="O59" s="120">
        <v>72386.700483033404</v>
      </c>
      <c r="P59" s="120">
        <v>361434.55100232502</v>
      </c>
      <c r="Q59" s="120">
        <v>917.04423182999301</v>
      </c>
      <c r="R59" s="120" t="s">
        <v>128</v>
      </c>
      <c r="S59" s="120" t="s">
        <v>128</v>
      </c>
      <c r="T59" s="120" t="s">
        <v>128</v>
      </c>
      <c r="U59" s="120">
        <v>3465.81647805076</v>
      </c>
    </row>
    <row r="60" spans="1:21" x14ac:dyDescent="0.2">
      <c r="A60" s="118" t="s">
        <v>114</v>
      </c>
      <c r="B60" s="62"/>
      <c r="C60" s="120">
        <v>906767.66131541296</v>
      </c>
      <c r="D60" s="120">
        <v>304518.02676651999</v>
      </c>
      <c r="E60" s="120">
        <v>565882.709468744</v>
      </c>
      <c r="F60" s="120">
        <v>6631.4980542579697</v>
      </c>
      <c r="G60" s="120" t="s">
        <v>128</v>
      </c>
      <c r="H60" s="120">
        <v>1252209.26289901</v>
      </c>
      <c r="I60" s="120" t="s">
        <v>128</v>
      </c>
      <c r="J60" s="120">
        <v>1213.88286961108</v>
      </c>
      <c r="K60" s="120" t="s">
        <v>128</v>
      </c>
      <c r="L60" s="120">
        <v>418.96313657902198</v>
      </c>
      <c r="M60" s="120">
        <v>41708.5891618428</v>
      </c>
      <c r="N60" s="120">
        <v>1823.47218248082</v>
      </c>
      <c r="O60" s="120">
        <v>15587.5924740507</v>
      </c>
      <c r="P60" s="120">
        <v>123678.991274445</v>
      </c>
      <c r="Q60" s="120">
        <v>1002.53008121863</v>
      </c>
      <c r="R60" s="120" t="s">
        <v>128</v>
      </c>
      <c r="S60" s="120" t="s">
        <v>128</v>
      </c>
      <c r="T60" s="120" t="s">
        <v>128</v>
      </c>
      <c r="U60" s="120">
        <v>3306.35702672663</v>
      </c>
    </row>
    <row r="61" spans="1:21" x14ac:dyDescent="0.2">
      <c r="A61" s="118" t="s">
        <v>115</v>
      </c>
      <c r="B61" s="62"/>
      <c r="C61" s="120">
        <v>6215.7852087230503</v>
      </c>
      <c r="D61" s="120">
        <v>263902.80866176297</v>
      </c>
      <c r="E61" s="120">
        <v>218556.924069303</v>
      </c>
      <c r="F61" s="120">
        <v>3050.5957455083699</v>
      </c>
      <c r="G61" s="120" t="s">
        <v>128</v>
      </c>
      <c r="H61" s="120">
        <v>455627.71278704703</v>
      </c>
      <c r="I61" s="120" t="s">
        <v>128</v>
      </c>
      <c r="J61" s="120">
        <v>1039.8247922769101</v>
      </c>
      <c r="K61" s="120">
        <v>1276.57641601562</v>
      </c>
      <c r="L61" s="120">
        <v>234.90644539377999</v>
      </c>
      <c r="M61" s="120">
        <v>15907.6330621777</v>
      </c>
      <c r="N61" s="120">
        <v>3888.8493170072202</v>
      </c>
      <c r="O61" s="120">
        <v>4608.15655980469</v>
      </c>
      <c r="P61" s="120">
        <v>45129.231934232201</v>
      </c>
      <c r="Q61" s="120">
        <v>1299.2228712276101</v>
      </c>
      <c r="R61" s="120" t="s">
        <v>128</v>
      </c>
      <c r="S61" s="120" t="s">
        <v>128</v>
      </c>
      <c r="T61" s="120" t="s">
        <v>128</v>
      </c>
      <c r="U61" s="120">
        <v>3763.8906441659301</v>
      </c>
    </row>
    <row r="62" spans="1:21" x14ac:dyDescent="0.2">
      <c r="A62" s="118" t="s">
        <v>116</v>
      </c>
      <c r="B62" s="62"/>
      <c r="C62" s="120">
        <v>883221.50966983603</v>
      </c>
      <c r="D62" s="120">
        <v>280030.30959625001</v>
      </c>
      <c r="E62" s="120">
        <v>96751.726615184205</v>
      </c>
      <c r="F62" s="120">
        <v>914.93113544392304</v>
      </c>
      <c r="G62" s="120" t="s">
        <v>128</v>
      </c>
      <c r="H62" s="120">
        <v>208510.99010822599</v>
      </c>
      <c r="I62" s="120" t="s">
        <v>128</v>
      </c>
      <c r="J62" s="120">
        <v>759.69137087984996</v>
      </c>
      <c r="K62" s="120" t="s">
        <v>128</v>
      </c>
      <c r="L62" s="120">
        <v>884.90757226589199</v>
      </c>
      <c r="M62" s="120">
        <v>9153.5206269917198</v>
      </c>
      <c r="N62" s="120">
        <v>3786.39736511607</v>
      </c>
      <c r="O62" s="120">
        <v>2283.5166015625</v>
      </c>
      <c r="P62" s="120">
        <v>19867.4262602454</v>
      </c>
      <c r="Q62" s="120">
        <v>1608.76236034371</v>
      </c>
      <c r="R62" s="120" t="s">
        <v>128</v>
      </c>
      <c r="S62" s="120" t="s">
        <v>128</v>
      </c>
      <c r="T62" s="120" t="s">
        <v>128</v>
      </c>
      <c r="U62" s="120">
        <v>4996.6042168827898</v>
      </c>
    </row>
    <row r="63" spans="1:21" x14ac:dyDescent="0.2">
      <c r="A63" s="118" t="s">
        <v>117</v>
      </c>
      <c r="B63" s="62"/>
      <c r="C63" s="120">
        <v>914216.75392696494</v>
      </c>
      <c r="D63" s="120">
        <v>333562.780501762</v>
      </c>
      <c r="E63" s="120">
        <v>37540.864351765696</v>
      </c>
      <c r="F63" s="120">
        <v>2477.0469342638798</v>
      </c>
      <c r="G63" s="120" t="s">
        <v>128</v>
      </c>
      <c r="H63" s="120">
        <v>76594.480077469707</v>
      </c>
      <c r="I63" s="120" t="s">
        <v>128</v>
      </c>
      <c r="J63" s="120">
        <v>769.70689779505597</v>
      </c>
      <c r="K63" s="120" t="s">
        <v>128</v>
      </c>
      <c r="L63" s="120">
        <v>1114.88999577547</v>
      </c>
      <c r="M63" s="120">
        <v>1182.0753877587299</v>
      </c>
      <c r="N63" s="120">
        <v>3447.7361253631898</v>
      </c>
      <c r="O63" s="120" t="s">
        <v>128</v>
      </c>
      <c r="P63" s="120">
        <v>7680.6823610761703</v>
      </c>
      <c r="Q63" s="120">
        <v>2068.9526176570398</v>
      </c>
      <c r="R63" s="120" t="s">
        <v>128</v>
      </c>
      <c r="S63" s="120" t="s">
        <v>128</v>
      </c>
      <c r="T63" s="120" t="s">
        <v>128</v>
      </c>
      <c r="U63" s="120">
        <v>8418.6898925113092</v>
      </c>
    </row>
    <row r="64" spans="1:21" x14ac:dyDescent="0.2">
      <c r="A64" s="118" t="s">
        <v>118</v>
      </c>
      <c r="B64" s="62"/>
      <c r="C64" s="120">
        <v>1009485.97814397</v>
      </c>
      <c r="D64" s="120">
        <v>277309.28444908903</v>
      </c>
      <c r="E64" s="120">
        <v>14787.832187514599</v>
      </c>
      <c r="F64" s="120">
        <v>588.21673634891295</v>
      </c>
      <c r="G64" s="120" t="s">
        <v>128</v>
      </c>
      <c r="H64" s="120">
        <v>31700.932211787302</v>
      </c>
      <c r="I64" s="120" t="s">
        <v>128</v>
      </c>
      <c r="J64" s="120">
        <v>766.82130342533401</v>
      </c>
      <c r="K64" s="120" t="s">
        <v>128</v>
      </c>
      <c r="L64" s="120">
        <v>1133.7229197558199</v>
      </c>
      <c r="M64" s="120">
        <v>796.28165185036698</v>
      </c>
      <c r="N64" s="120">
        <v>3111.84501437366</v>
      </c>
      <c r="O64" s="120" t="s">
        <v>128</v>
      </c>
      <c r="P64" s="120">
        <v>3688.7567605148802</v>
      </c>
      <c r="Q64" s="120">
        <v>3138.0359681730602</v>
      </c>
      <c r="R64" s="120" t="s">
        <v>128</v>
      </c>
      <c r="S64" s="120" t="s">
        <v>128</v>
      </c>
      <c r="T64" s="120" t="s">
        <v>128</v>
      </c>
      <c r="U64" s="120">
        <v>11877.693172253201</v>
      </c>
    </row>
    <row r="65" spans="1:21" x14ac:dyDescent="0.2">
      <c r="A65" s="118" t="s">
        <v>119</v>
      </c>
      <c r="B65" s="62"/>
      <c r="C65" s="120">
        <v>829159.52913888998</v>
      </c>
      <c r="D65" s="120">
        <v>288623.130074049</v>
      </c>
      <c r="E65" s="120">
        <v>5252.0123568932204</v>
      </c>
      <c r="F65" s="120" t="s">
        <v>128</v>
      </c>
      <c r="G65" s="120" t="s">
        <v>128</v>
      </c>
      <c r="H65" s="120">
        <v>12244.3753084619</v>
      </c>
      <c r="I65" s="120" t="s">
        <v>128</v>
      </c>
      <c r="J65" s="120">
        <v>1365.53270002061</v>
      </c>
      <c r="K65" s="120" t="s">
        <v>128</v>
      </c>
      <c r="L65" s="120">
        <v>1802.07032177624</v>
      </c>
      <c r="M65" s="120">
        <v>749.64995078428399</v>
      </c>
      <c r="N65" s="120">
        <v>3412.540500611</v>
      </c>
      <c r="O65" s="120" t="s">
        <v>128</v>
      </c>
      <c r="P65" s="120">
        <v>3113.3149879385101</v>
      </c>
      <c r="Q65" s="120">
        <v>6636.61753946722</v>
      </c>
      <c r="R65" s="120" t="s">
        <v>128</v>
      </c>
      <c r="S65" s="120" t="s">
        <v>128</v>
      </c>
      <c r="T65" s="120" t="s">
        <v>128</v>
      </c>
      <c r="U65" s="120">
        <v>23274.723531062398</v>
      </c>
    </row>
    <row r="66" spans="1:21" x14ac:dyDescent="0.2">
      <c r="A66" s="118" t="s">
        <v>120</v>
      </c>
      <c r="B66" s="62"/>
      <c r="C66" s="120">
        <v>924166.01250632806</v>
      </c>
      <c r="D66" s="120">
        <v>191715.8356205</v>
      </c>
      <c r="E66" s="120">
        <v>22945.331398050599</v>
      </c>
      <c r="F66" s="120">
        <v>16472108.414929399</v>
      </c>
      <c r="G66" s="120">
        <v>2117.4842705833098</v>
      </c>
      <c r="H66" s="120">
        <v>2123764.9306453601</v>
      </c>
      <c r="I66" s="120" t="s">
        <v>128</v>
      </c>
      <c r="J66" s="120">
        <v>828.25935068158196</v>
      </c>
      <c r="K66" s="120">
        <v>6493315.4054094702</v>
      </c>
      <c r="L66" s="120" t="s">
        <v>128</v>
      </c>
      <c r="M66" s="120">
        <v>14513557.009705801</v>
      </c>
      <c r="N66" s="120" t="s">
        <v>128</v>
      </c>
      <c r="O66" s="120">
        <v>6487.6796444675601</v>
      </c>
      <c r="P66" s="120">
        <v>616.52433706507395</v>
      </c>
      <c r="Q66" s="120">
        <v>109.78914707565799</v>
      </c>
      <c r="R66" s="120" t="s">
        <v>128</v>
      </c>
      <c r="S66" s="120" t="s">
        <v>128</v>
      </c>
      <c r="T66" s="120" t="s">
        <v>128</v>
      </c>
      <c r="U66" s="120">
        <v>773.27272358336597</v>
      </c>
    </row>
    <row r="67" spans="1:21" x14ac:dyDescent="0.2">
      <c r="A67" s="118" t="s">
        <v>121</v>
      </c>
      <c r="B67" s="62"/>
      <c r="C67" s="120">
        <v>890972.124961177</v>
      </c>
      <c r="D67" s="120">
        <v>373816.373737266</v>
      </c>
      <c r="E67" s="120">
        <v>5671.8202931076703</v>
      </c>
      <c r="F67" s="120">
        <v>7269745.5621856796</v>
      </c>
      <c r="G67" s="120">
        <v>545.40747362485899</v>
      </c>
      <c r="H67" s="120">
        <v>947586.71137697599</v>
      </c>
      <c r="I67" s="120" t="s">
        <v>128</v>
      </c>
      <c r="J67" s="120">
        <v>856.78311403336204</v>
      </c>
      <c r="K67" s="120">
        <v>2370806.5692022899</v>
      </c>
      <c r="L67" s="120" t="s">
        <v>128</v>
      </c>
      <c r="M67" s="120">
        <v>7276637.1836621603</v>
      </c>
      <c r="N67" s="120">
        <v>1706.8467980826099</v>
      </c>
      <c r="O67" s="120">
        <v>2122.44580078125</v>
      </c>
      <c r="P67" s="120">
        <v>867.451284754678</v>
      </c>
      <c r="Q67" s="120">
        <v>145.78921399928899</v>
      </c>
      <c r="R67" s="120" t="s">
        <v>128</v>
      </c>
      <c r="S67" s="120" t="s">
        <v>128</v>
      </c>
      <c r="T67" s="120" t="s">
        <v>128</v>
      </c>
      <c r="U67" s="120">
        <v>681.15484511094098</v>
      </c>
    </row>
    <row r="68" spans="1:21" x14ac:dyDescent="0.2">
      <c r="A68" s="118" t="s">
        <v>122</v>
      </c>
      <c r="B68" s="62"/>
      <c r="C68" s="120">
        <v>894507.27333415102</v>
      </c>
      <c r="D68" s="120">
        <v>201501.33507221</v>
      </c>
      <c r="E68" s="120">
        <v>993.79932407930005</v>
      </c>
      <c r="F68" s="120">
        <v>2756209.7444251799</v>
      </c>
      <c r="G68" s="120" t="s">
        <v>128</v>
      </c>
      <c r="H68" s="120">
        <v>362554.530570706</v>
      </c>
      <c r="I68" s="120" t="s">
        <v>128</v>
      </c>
      <c r="J68" s="120">
        <v>1304.66634597802</v>
      </c>
      <c r="K68" s="120">
        <v>830852.42359135603</v>
      </c>
      <c r="L68" s="120" t="s">
        <v>128</v>
      </c>
      <c r="M68" s="120">
        <v>3195620.3342725402</v>
      </c>
      <c r="N68" s="120" t="s">
        <v>128</v>
      </c>
      <c r="O68" s="120" t="s">
        <v>128</v>
      </c>
      <c r="P68" s="120">
        <v>199.89746807478099</v>
      </c>
      <c r="Q68" s="120">
        <v>96.456328893303194</v>
      </c>
      <c r="R68" s="120" t="s">
        <v>128</v>
      </c>
      <c r="S68" s="120" t="s">
        <v>128</v>
      </c>
      <c r="T68" s="120" t="s">
        <v>128</v>
      </c>
      <c r="U68" s="120">
        <v>1044.4814509129001</v>
      </c>
    </row>
    <row r="69" spans="1:21" x14ac:dyDescent="0.2">
      <c r="A69" s="118" t="s">
        <v>123</v>
      </c>
      <c r="B69" s="62"/>
      <c r="C69" s="120">
        <v>782081.25610524905</v>
      </c>
      <c r="D69" s="120">
        <v>401550.991790484</v>
      </c>
      <c r="E69" s="120">
        <v>927.09182180133303</v>
      </c>
      <c r="F69" s="120">
        <v>1162186.8589940199</v>
      </c>
      <c r="G69" s="120" t="s">
        <v>128</v>
      </c>
      <c r="H69" s="120">
        <v>150636.26511562499</v>
      </c>
      <c r="I69" s="120" t="s">
        <v>128</v>
      </c>
      <c r="J69" s="120">
        <v>1381.37637009287</v>
      </c>
      <c r="K69" s="120">
        <v>292410.06930378702</v>
      </c>
      <c r="L69" s="120" t="s">
        <v>128</v>
      </c>
      <c r="M69" s="120">
        <v>1201861.47782283</v>
      </c>
      <c r="N69" s="120">
        <v>2059.2666288482101</v>
      </c>
      <c r="O69" s="120" t="s">
        <v>128</v>
      </c>
      <c r="P69" s="120">
        <v>1848.4343429322701</v>
      </c>
      <c r="Q69" s="120">
        <v>47.720753520645303</v>
      </c>
      <c r="R69" s="120" t="s">
        <v>128</v>
      </c>
      <c r="S69" s="120" t="s">
        <v>128</v>
      </c>
      <c r="T69" s="120" t="s">
        <v>128</v>
      </c>
      <c r="U69" s="120">
        <v>2811.51239006996</v>
      </c>
    </row>
    <row r="70" spans="1:21" x14ac:dyDescent="0.2">
      <c r="A70" s="118" t="s">
        <v>124</v>
      </c>
      <c r="B70" s="62"/>
      <c r="C70" s="120">
        <v>877007.00145916</v>
      </c>
      <c r="D70" s="120">
        <v>251187.60245183899</v>
      </c>
      <c r="E70" s="120" t="s">
        <v>128</v>
      </c>
      <c r="F70" s="120">
        <v>431703.262841844</v>
      </c>
      <c r="G70" s="120" t="s">
        <v>128</v>
      </c>
      <c r="H70" s="120">
        <v>56847.942279306597</v>
      </c>
      <c r="I70" s="120" t="s">
        <v>128</v>
      </c>
      <c r="J70" s="120">
        <v>1031.0206153138099</v>
      </c>
      <c r="K70" s="120">
        <v>112622.471695682</v>
      </c>
      <c r="L70" s="120" t="s">
        <v>128</v>
      </c>
      <c r="M70" s="120">
        <v>478761.71855819202</v>
      </c>
      <c r="N70" s="120">
        <v>1490.0831348701399</v>
      </c>
      <c r="O70" s="120">
        <v>1138.73132324218</v>
      </c>
      <c r="P70" s="120">
        <v>254.771400467299</v>
      </c>
      <c r="Q70" s="120">
        <v>59.373609906413897</v>
      </c>
      <c r="R70" s="120" t="s">
        <v>128</v>
      </c>
      <c r="S70" s="120" t="s">
        <v>128</v>
      </c>
      <c r="T70" s="120" t="s">
        <v>128</v>
      </c>
      <c r="U70" s="120">
        <v>1522.2262256705301</v>
      </c>
    </row>
    <row r="71" spans="1:21" x14ac:dyDescent="0.2">
      <c r="A71" s="118" t="s">
        <v>125</v>
      </c>
      <c r="B71" s="62"/>
      <c r="C71" s="120">
        <v>927009.38940788596</v>
      </c>
      <c r="D71" s="120">
        <v>253631.969516048</v>
      </c>
      <c r="E71" s="120" t="s">
        <v>128</v>
      </c>
      <c r="F71" s="120">
        <v>180930.38568430601</v>
      </c>
      <c r="G71" s="120" t="s">
        <v>128</v>
      </c>
      <c r="H71" s="120">
        <v>22684.8438939771</v>
      </c>
      <c r="I71" s="120" t="s">
        <v>128</v>
      </c>
      <c r="J71" s="120">
        <v>1226.5510208453099</v>
      </c>
      <c r="K71" s="120">
        <v>42801.2890625</v>
      </c>
      <c r="L71" s="120" t="s">
        <v>128</v>
      </c>
      <c r="M71" s="120">
        <v>197949.813828635</v>
      </c>
      <c r="N71" s="120" t="s">
        <v>128</v>
      </c>
      <c r="O71" s="120">
        <v>1552.51098632812</v>
      </c>
      <c r="P71" s="120">
        <v>488.76944325206398</v>
      </c>
      <c r="Q71" s="120">
        <v>211.61126972683499</v>
      </c>
      <c r="R71" s="120" t="s">
        <v>128</v>
      </c>
      <c r="S71" s="120" t="s">
        <v>128</v>
      </c>
      <c r="T71" s="120" t="s">
        <v>128</v>
      </c>
      <c r="U71" s="120">
        <v>1378.01913727948</v>
      </c>
    </row>
    <row r="72" spans="1:21" x14ac:dyDescent="0.2">
      <c r="A72" s="118" t="s">
        <v>126</v>
      </c>
      <c r="B72" s="62"/>
      <c r="C72" s="120">
        <v>856566.26988200902</v>
      </c>
      <c r="D72" s="120">
        <v>663976.48619691306</v>
      </c>
      <c r="E72" s="120">
        <v>941.11450091877703</v>
      </c>
      <c r="F72" s="120">
        <v>70237.064401384196</v>
      </c>
      <c r="G72" s="120" t="s">
        <v>128</v>
      </c>
      <c r="H72" s="120">
        <v>11093.459594313799</v>
      </c>
      <c r="I72" s="120" t="s">
        <v>128</v>
      </c>
      <c r="J72" s="120">
        <v>1238.3644627808701</v>
      </c>
      <c r="K72" s="120">
        <v>20479.95703125</v>
      </c>
      <c r="L72" s="120" t="s">
        <v>128</v>
      </c>
      <c r="M72" s="120">
        <v>83576.348239112296</v>
      </c>
      <c r="N72" s="120">
        <v>2309.1257790190198</v>
      </c>
      <c r="O72" s="120">
        <v>2521.52919151985</v>
      </c>
      <c r="P72" s="120">
        <v>345.35067671688199</v>
      </c>
      <c r="Q72" s="120">
        <v>242.891434031568</v>
      </c>
      <c r="R72" s="120" t="s">
        <v>128</v>
      </c>
      <c r="S72" s="120" t="s">
        <v>128</v>
      </c>
      <c r="T72" s="120" t="s">
        <v>128</v>
      </c>
      <c r="U72" s="120">
        <v>2783.3396572581901</v>
      </c>
    </row>
    <row r="73" spans="1:21" x14ac:dyDescent="0.2">
      <c r="A73" s="118" t="s">
        <v>127</v>
      </c>
      <c r="B73" s="62"/>
      <c r="C73" s="120">
        <v>949839.19481185905</v>
      </c>
      <c r="D73" s="120">
        <v>125328.008813993</v>
      </c>
      <c r="E73" s="120" t="s">
        <v>128</v>
      </c>
      <c r="F73" s="120">
        <v>29534.4599969503</v>
      </c>
      <c r="G73" s="120" t="s">
        <v>128</v>
      </c>
      <c r="H73" s="120">
        <v>5978.32634640182</v>
      </c>
      <c r="I73" s="120" t="s">
        <v>128</v>
      </c>
      <c r="J73" s="120">
        <v>1256.4940885649801</v>
      </c>
      <c r="K73" s="120">
        <v>8139.5673828125</v>
      </c>
      <c r="L73" s="120" t="s">
        <v>128</v>
      </c>
      <c r="M73" s="120">
        <v>39139.330789685897</v>
      </c>
      <c r="N73" s="120" t="s">
        <v>128</v>
      </c>
      <c r="O73" s="120">
        <v>4359.9386193888204</v>
      </c>
      <c r="P73" s="120">
        <v>11138.7596828896</v>
      </c>
      <c r="Q73" s="120">
        <v>223.329585980091</v>
      </c>
      <c r="R73" s="120" t="s">
        <v>128</v>
      </c>
      <c r="S73" s="120" t="s">
        <v>128</v>
      </c>
      <c r="T73" s="120" t="s">
        <v>128</v>
      </c>
      <c r="U73" s="120">
        <v>603.98042444194198</v>
      </c>
    </row>
    <row r="74" spans="1:21" x14ac:dyDescent="0.2">
      <c r="A74" s="118" t="s">
        <v>68</v>
      </c>
      <c r="B74" s="121" t="s">
        <v>159</v>
      </c>
      <c r="C74" s="120">
        <v>49193689.196571298</v>
      </c>
      <c r="D74" s="120">
        <v>41558299.437969401</v>
      </c>
      <c r="E74" s="120">
        <v>162878.57158701401</v>
      </c>
      <c r="F74" s="120" t="s">
        <v>128</v>
      </c>
      <c r="G74" s="120">
        <v>703.24556104029796</v>
      </c>
      <c r="H74" s="120">
        <v>139.913827621716</v>
      </c>
      <c r="I74" s="120" t="s">
        <v>128</v>
      </c>
      <c r="J74" s="120" t="s">
        <v>128</v>
      </c>
      <c r="K74" s="120" t="s">
        <v>128</v>
      </c>
      <c r="L74" s="120" t="s">
        <v>128</v>
      </c>
      <c r="M74" s="120" t="s">
        <v>128</v>
      </c>
      <c r="N74" s="120" t="s">
        <v>128</v>
      </c>
      <c r="O74" s="120" t="s">
        <v>128</v>
      </c>
      <c r="P74" s="120">
        <v>315.25658824418099</v>
      </c>
      <c r="Q74" s="120">
        <v>75.0751233786158</v>
      </c>
      <c r="R74" s="120" t="s">
        <v>128</v>
      </c>
      <c r="S74" s="120" t="s">
        <v>128</v>
      </c>
      <c r="T74" s="120" t="s">
        <v>128</v>
      </c>
      <c r="U74" s="120">
        <v>2090.1173423575201</v>
      </c>
    </row>
    <row r="75" spans="1:21" x14ac:dyDescent="0.2">
      <c r="A75" s="118" t="s">
        <v>69</v>
      </c>
      <c r="B75" s="121" t="s">
        <v>159</v>
      </c>
      <c r="C75" s="120">
        <v>51075779.899349801</v>
      </c>
      <c r="D75" s="120">
        <v>49548289.782506503</v>
      </c>
      <c r="E75" s="120">
        <v>179856.98550419899</v>
      </c>
      <c r="F75" s="120" t="s">
        <v>128</v>
      </c>
      <c r="G75" s="120">
        <v>898.23580921252596</v>
      </c>
      <c r="H75" s="120" t="s">
        <v>128</v>
      </c>
      <c r="I75" s="120" t="s">
        <v>128</v>
      </c>
      <c r="J75" s="120">
        <v>1242.31049783308</v>
      </c>
      <c r="K75" s="120" t="s">
        <v>128</v>
      </c>
      <c r="L75" s="120">
        <v>1220.0802950370601</v>
      </c>
      <c r="M75" s="120" t="s">
        <v>128</v>
      </c>
      <c r="N75" s="120" t="s">
        <v>128</v>
      </c>
      <c r="O75" s="120" t="s">
        <v>128</v>
      </c>
      <c r="P75" s="120">
        <v>344.00021225697799</v>
      </c>
      <c r="Q75" s="120">
        <v>51.473466233950703</v>
      </c>
      <c r="R75" s="120" t="s">
        <v>128</v>
      </c>
      <c r="S75" s="120" t="s">
        <v>128</v>
      </c>
      <c r="T75" s="120">
        <v>317.95761353398399</v>
      </c>
      <c r="U75" s="120">
        <v>1011.13781419381</v>
      </c>
    </row>
    <row r="76" spans="1:21" x14ac:dyDescent="0.2">
      <c r="A76" s="118" t="s">
        <v>70</v>
      </c>
      <c r="B76" s="121" t="s">
        <v>159</v>
      </c>
      <c r="C76" s="120">
        <v>23710026.120903399</v>
      </c>
      <c r="D76" s="120">
        <v>31815680.437850401</v>
      </c>
      <c r="E76" s="120">
        <v>140284.78288981901</v>
      </c>
      <c r="F76" s="120" t="s">
        <v>128</v>
      </c>
      <c r="G76" s="120" t="s">
        <v>128</v>
      </c>
      <c r="H76" s="120" t="s">
        <v>128</v>
      </c>
      <c r="I76" s="120" t="s">
        <v>128</v>
      </c>
      <c r="J76" s="120">
        <v>883.11639167015801</v>
      </c>
      <c r="K76" s="120" t="s">
        <v>128</v>
      </c>
      <c r="L76" s="120">
        <v>779.97952003611999</v>
      </c>
      <c r="M76" s="120" t="s">
        <v>128</v>
      </c>
      <c r="N76" s="120" t="s">
        <v>128</v>
      </c>
      <c r="O76" s="120" t="s">
        <v>128</v>
      </c>
      <c r="P76" s="120">
        <v>182.785236817851</v>
      </c>
      <c r="Q76" s="120">
        <v>156.33042777016399</v>
      </c>
      <c r="R76" s="120" t="s">
        <v>128</v>
      </c>
      <c r="S76" s="120" t="s">
        <v>128</v>
      </c>
      <c r="T76" s="120" t="s">
        <v>128</v>
      </c>
      <c r="U76" s="120">
        <v>1771.85484796112</v>
      </c>
    </row>
    <row r="77" spans="1:21" x14ac:dyDescent="0.2">
      <c r="A77" s="118" t="s">
        <v>71</v>
      </c>
      <c r="B77" s="121" t="s">
        <v>160</v>
      </c>
      <c r="C77" s="120">
        <v>571428.97398592602</v>
      </c>
      <c r="D77" s="120">
        <v>44099.6829140872</v>
      </c>
      <c r="E77" s="120" t="s">
        <v>128</v>
      </c>
      <c r="F77" s="120" t="s">
        <v>128</v>
      </c>
      <c r="G77" s="120">
        <v>922.97695622076105</v>
      </c>
      <c r="H77" s="120" t="s">
        <v>128</v>
      </c>
      <c r="I77" s="120" t="s">
        <v>128</v>
      </c>
      <c r="J77" s="120" t="s">
        <v>128</v>
      </c>
      <c r="K77" s="120" t="s">
        <v>128</v>
      </c>
      <c r="L77" s="120" t="s">
        <v>128</v>
      </c>
      <c r="M77" s="120" t="s">
        <v>128</v>
      </c>
      <c r="N77" s="120" t="s">
        <v>128</v>
      </c>
      <c r="O77" s="120" t="s">
        <v>128</v>
      </c>
      <c r="P77" s="120">
        <v>145.23206357592599</v>
      </c>
      <c r="Q77" s="120">
        <v>120.31178997388101</v>
      </c>
      <c r="R77" s="120" t="s">
        <v>128</v>
      </c>
      <c r="S77" s="120" t="s">
        <v>128</v>
      </c>
      <c r="T77" s="120" t="s">
        <v>128</v>
      </c>
      <c r="U77" s="120">
        <v>1837.87728667847</v>
      </c>
    </row>
    <row r="78" spans="1:21" x14ac:dyDescent="0.2">
      <c r="A78" s="118" t="s">
        <v>72</v>
      </c>
      <c r="B78" s="121" t="s">
        <v>160</v>
      </c>
      <c r="C78" s="120">
        <v>501596.77426156303</v>
      </c>
      <c r="D78" s="120">
        <v>39468.8076281002</v>
      </c>
      <c r="E78" s="120" t="s">
        <v>128</v>
      </c>
      <c r="F78" s="120" t="s">
        <v>128</v>
      </c>
      <c r="G78" s="120">
        <v>814.39141852730802</v>
      </c>
      <c r="H78" s="120" t="s">
        <v>128</v>
      </c>
      <c r="I78" s="120" t="s">
        <v>128</v>
      </c>
      <c r="J78" s="120">
        <v>1587.4861359823799</v>
      </c>
      <c r="K78" s="120" t="s">
        <v>128</v>
      </c>
      <c r="L78" s="120" t="s">
        <v>128</v>
      </c>
      <c r="M78" s="120" t="s">
        <v>128</v>
      </c>
      <c r="N78" s="120" t="s">
        <v>128</v>
      </c>
      <c r="O78" s="120" t="s">
        <v>128</v>
      </c>
      <c r="P78" s="120">
        <v>248.54361996211</v>
      </c>
      <c r="Q78" s="120">
        <v>333.065923854358</v>
      </c>
      <c r="R78" s="120" t="s">
        <v>128</v>
      </c>
      <c r="S78" s="120" t="s">
        <v>128</v>
      </c>
      <c r="T78" s="120" t="s">
        <v>128</v>
      </c>
      <c r="U78" s="120">
        <v>3967.7143579707699</v>
      </c>
    </row>
    <row r="79" spans="1:21" x14ac:dyDescent="0.2">
      <c r="A79" s="118" t="s">
        <v>73</v>
      </c>
      <c r="B79" s="121" t="s">
        <v>160</v>
      </c>
      <c r="C79" s="120">
        <v>490445.62221067899</v>
      </c>
      <c r="D79" s="120">
        <v>34270.400833033797</v>
      </c>
      <c r="E79" s="120" t="s">
        <v>128</v>
      </c>
      <c r="F79" s="120">
        <v>90.526054034544103</v>
      </c>
      <c r="G79" s="120">
        <v>728.080148317154</v>
      </c>
      <c r="H79" s="120" t="s">
        <v>128</v>
      </c>
      <c r="I79" s="120" t="s">
        <v>128</v>
      </c>
      <c r="J79" s="120" t="s">
        <v>128</v>
      </c>
      <c r="K79" s="120" t="s">
        <v>128</v>
      </c>
      <c r="L79" s="120" t="s">
        <v>128</v>
      </c>
      <c r="M79" s="120" t="s">
        <v>128</v>
      </c>
      <c r="N79" s="120" t="s">
        <v>128</v>
      </c>
      <c r="O79" s="120" t="s">
        <v>128</v>
      </c>
      <c r="P79" s="120">
        <v>287.09749820717002</v>
      </c>
      <c r="Q79" s="120">
        <v>154.34465579675901</v>
      </c>
      <c r="R79" s="120" t="s">
        <v>128</v>
      </c>
      <c r="S79" s="120" t="s">
        <v>128</v>
      </c>
      <c r="T79" s="120">
        <v>300.09816076107802</v>
      </c>
      <c r="U79" s="120">
        <v>1366.04955859918</v>
      </c>
    </row>
    <row r="80" spans="1:21" x14ac:dyDescent="0.2">
      <c r="A80" s="118" t="s">
        <v>74</v>
      </c>
      <c r="B80" s="121" t="s">
        <v>161</v>
      </c>
      <c r="C80" s="120">
        <v>49325839.891974099</v>
      </c>
      <c r="D80" s="120">
        <v>34242.597645616697</v>
      </c>
      <c r="E80" s="120">
        <v>329264.57262732799</v>
      </c>
      <c r="F80" s="120" t="s">
        <v>128</v>
      </c>
      <c r="G80" s="120">
        <v>1057.15293113035</v>
      </c>
      <c r="H80" s="120" t="s">
        <v>128</v>
      </c>
      <c r="I80" s="120" t="s">
        <v>128</v>
      </c>
      <c r="J80" s="120">
        <v>4144.1718786902002</v>
      </c>
      <c r="K80" s="120" t="s">
        <v>128</v>
      </c>
      <c r="L80" s="120" t="s">
        <v>128</v>
      </c>
      <c r="M80" s="120" t="s">
        <v>128</v>
      </c>
      <c r="N80" s="120" t="s">
        <v>128</v>
      </c>
      <c r="O80" s="120" t="s">
        <v>128</v>
      </c>
      <c r="P80" s="120">
        <v>108.595089605962</v>
      </c>
      <c r="Q80" s="120">
        <v>873.922892522251</v>
      </c>
      <c r="R80" s="120" t="s">
        <v>128</v>
      </c>
      <c r="S80" s="120" t="s">
        <v>128</v>
      </c>
      <c r="T80" s="120" t="s">
        <v>128</v>
      </c>
      <c r="U80" s="120">
        <v>871.75060321396904</v>
      </c>
    </row>
    <row r="81" spans="1:21" x14ac:dyDescent="0.2">
      <c r="A81" s="118" t="s">
        <v>75</v>
      </c>
      <c r="B81" s="121" t="s">
        <v>161</v>
      </c>
      <c r="C81" s="120">
        <v>54482582.815191299</v>
      </c>
      <c r="D81" s="120">
        <v>30283.378192962999</v>
      </c>
      <c r="E81" s="120">
        <v>283089.69724545599</v>
      </c>
      <c r="F81" s="120" t="s">
        <v>128</v>
      </c>
      <c r="G81" s="120">
        <v>914.04475406123402</v>
      </c>
      <c r="H81" s="120" t="s">
        <v>128</v>
      </c>
      <c r="I81" s="120" t="s">
        <v>128</v>
      </c>
      <c r="J81" s="120">
        <v>3619.32681443603</v>
      </c>
      <c r="K81" s="120" t="s">
        <v>128</v>
      </c>
      <c r="L81" s="120">
        <v>254.66887512197201</v>
      </c>
      <c r="M81" s="120" t="s">
        <v>128</v>
      </c>
      <c r="N81" s="120" t="s">
        <v>128</v>
      </c>
      <c r="O81" s="120" t="s">
        <v>128</v>
      </c>
      <c r="P81" s="120">
        <v>905.81039037719404</v>
      </c>
      <c r="Q81" s="120" t="s">
        <v>128</v>
      </c>
      <c r="R81" s="120" t="s">
        <v>128</v>
      </c>
      <c r="S81" s="120" t="s">
        <v>128</v>
      </c>
      <c r="T81" s="120" t="s">
        <v>128</v>
      </c>
      <c r="U81" s="120">
        <v>2372.09421794742</v>
      </c>
    </row>
    <row r="82" spans="1:21" x14ac:dyDescent="0.2">
      <c r="A82" s="118" t="s">
        <v>76</v>
      </c>
      <c r="B82" s="121" t="s">
        <v>161</v>
      </c>
      <c r="C82" s="120">
        <v>59328850.2721074</v>
      </c>
      <c r="D82" s="120">
        <v>34030.042039180502</v>
      </c>
      <c r="E82" s="120">
        <v>527943.83185087505</v>
      </c>
      <c r="F82" s="120" t="s">
        <v>128</v>
      </c>
      <c r="G82" s="120">
        <v>1139.0439298902299</v>
      </c>
      <c r="H82" s="120">
        <v>173.12423649880901</v>
      </c>
      <c r="I82" s="120" t="s">
        <v>128</v>
      </c>
      <c r="J82" s="120">
        <v>6945.6322905196103</v>
      </c>
      <c r="K82" s="120" t="s">
        <v>128</v>
      </c>
      <c r="L82" s="120">
        <v>372.843183268063</v>
      </c>
      <c r="M82" s="120">
        <v>1069.3744619915999</v>
      </c>
      <c r="N82" s="120" t="s">
        <v>128</v>
      </c>
      <c r="O82" s="120">
        <v>1895.0576171875</v>
      </c>
      <c r="P82" s="120">
        <v>2777.36031809114</v>
      </c>
      <c r="Q82" s="120">
        <v>4648.8326271677997</v>
      </c>
      <c r="R82" s="120">
        <v>230.54107413659901</v>
      </c>
      <c r="S82" s="120" t="s">
        <v>128</v>
      </c>
      <c r="T82" s="120">
        <v>630.02454526787903</v>
      </c>
      <c r="U82" s="120">
        <v>3977.80706161326</v>
      </c>
    </row>
    <row r="83" spans="1:21" x14ac:dyDescent="0.2">
      <c r="A83" s="118" t="s">
        <v>77</v>
      </c>
      <c r="B83" s="121" t="s">
        <v>162</v>
      </c>
      <c r="C83" s="120">
        <v>18406409.3202498</v>
      </c>
      <c r="D83" s="120">
        <v>70291576.222966999</v>
      </c>
      <c r="E83" s="120">
        <v>844584.539465304</v>
      </c>
      <c r="F83" s="120" t="s">
        <v>128</v>
      </c>
      <c r="G83" s="120">
        <v>715.16242670511303</v>
      </c>
      <c r="H83" s="120" t="s">
        <v>128</v>
      </c>
      <c r="I83" s="120" t="s">
        <v>128</v>
      </c>
      <c r="J83" s="120" t="s">
        <v>128</v>
      </c>
      <c r="K83" s="120" t="s">
        <v>128</v>
      </c>
      <c r="L83" s="120" t="s">
        <v>128</v>
      </c>
      <c r="M83" s="120" t="s">
        <v>128</v>
      </c>
      <c r="N83" s="120" t="s">
        <v>128</v>
      </c>
      <c r="O83" s="120" t="s">
        <v>128</v>
      </c>
      <c r="P83" s="120">
        <v>452.73059676921503</v>
      </c>
      <c r="Q83" s="120">
        <v>168.23707728418401</v>
      </c>
      <c r="R83" s="120" t="s">
        <v>128</v>
      </c>
      <c r="S83" s="120" t="s">
        <v>128</v>
      </c>
      <c r="T83" s="120" t="s">
        <v>128</v>
      </c>
      <c r="U83" s="120">
        <v>3577.33714606376</v>
      </c>
    </row>
    <row r="84" spans="1:21" x14ac:dyDescent="0.2">
      <c r="A84" s="118" t="s">
        <v>78</v>
      </c>
      <c r="B84" s="121" t="s">
        <v>162</v>
      </c>
      <c r="C84" s="120">
        <v>18508255.350362498</v>
      </c>
      <c r="D84" s="120">
        <v>57417604.144482799</v>
      </c>
      <c r="E84" s="120">
        <v>1117587.1643989501</v>
      </c>
      <c r="F84" s="120">
        <v>106.36601720608</v>
      </c>
      <c r="G84" s="120">
        <v>789.999862945941</v>
      </c>
      <c r="H84" s="120" t="s">
        <v>128</v>
      </c>
      <c r="I84" s="120" t="s">
        <v>128</v>
      </c>
      <c r="J84" s="120" t="s">
        <v>128</v>
      </c>
      <c r="K84" s="120" t="s">
        <v>128</v>
      </c>
      <c r="L84" s="120">
        <v>1517.30918486991</v>
      </c>
      <c r="M84" s="120" t="s">
        <v>128</v>
      </c>
      <c r="N84" s="120" t="s">
        <v>128</v>
      </c>
      <c r="O84" s="120" t="s">
        <v>128</v>
      </c>
      <c r="P84" s="120">
        <v>169.48193157624399</v>
      </c>
      <c r="Q84" s="120">
        <v>48.779170302026401</v>
      </c>
      <c r="R84" s="120" t="s">
        <v>128</v>
      </c>
      <c r="S84" s="120" t="s">
        <v>128</v>
      </c>
      <c r="T84" s="120">
        <v>352.59474304134397</v>
      </c>
      <c r="U84" s="120">
        <v>1588.66256445517</v>
      </c>
    </row>
    <row r="85" spans="1:21" x14ac:dyDescent="0.2">
      <c r="A85" s="118" t="s">
        <v>79</v>
      </c>
      <c r="B85" s="121" t="s">
        <v>162</v>
      </c>
      <c r="C85" s="120">
        <v>17964322.249708299</v>
      </c>
      <c r="D85" s="120">
        <v>44079712.492673703</v>
      </c>
      <c r="E85" s="120">
        <v>1170966.93992257</v>
      </c>
      <c r="F85" s="120" t="s">
        <v>128</v>
      </c>
      <c r="G85" s="120">
        <v>601.78900637822198</v>
      </c>
      <c r="H85" s="120">
        <v>105.35798036953599</v>
      </c>
      <c r="I85" s="120" t="s">
        <v>128</v>
      </c>
      <c r="J85" s="120" t="s">
        <v>128</v>
      </c>
      <c r="K85" s="120" t="s">
        <v>128</v>
      </c>
      <c r="L85" s="120">
        <v>928.11156134692305</v>
      </c>
      <c r="M85" s="120">
        <v>1391.34549469801</v>
      </c>
      <c r="N85" s="120" t="s">
        <v>128</v>
      </c>
      <c r="O85" s="120" t="s">
        <v>128</v>
      </c>
      <c r="P85" s="120">
        <v>446.10512109123101</v>
      </c>
      <c r="Q85" s="120">
        <v>49.087283764216203</v>
      </c>
      <c r="R85" s="120" t="s">
        <v>128</v>
      </c>
      <c r="S85" s="120" t="s">
        <v>128</v>
      </c>
      <c r="T85" s="120">
        <v>431.61272051992</v>
      </c>
      <c r="U85" s="120">
        <v>1682.3897986536099</v>
      </c>
    </row>
    <row r="86" spans="1:21" x14ac:dyDescent="0.2">
      <c r="A86" s="118" t="s">
        <v>80</v>
      </c>
      <c r="B86" s="121" t="s">
        <v>163</v>
      </c>
      <c r="C86" s="120">
        <v>59731760.227066301</v>
      </c>
      <c r="D86" s="120">
        <v>81581752.920993701</v>
      </c>
      <c r="E86" s="120">
        <v>151691.452342153</v>
      </c>
      <c r="F86" s="120" t="s">
        <v>128</v>
      </c>
      <c r="G86" s="120">
        <v>670.98477580006704</v>
      </c>
      <c r="H86" s="120">
        <v>155.45745759047</v>
      </c>
      <c r="I86" s="120" t="s">
        <v>128</v>
      </c>
      <c r="J86" s="120">
        <v>32874.421008076599</v>
      </c>
      <c r="K86" s="120" t="s">
        <v>128</v>
      </c>
      <c r="L86" s="120">
        <v>580.83603620120005</v>
      </c>
      <c r="M86" s="120" t="s">
        <v>128</v>
      </c>
      <c r="N86" s="120" t="s">
        <v>128</v>
      </c>
      <c r="O86" s="120" t="s">
        <v>128</v>
      </c>
      <c r="P86" s="120">
        <v>477.17902452176799</v>
      </c>
      <c r="Q86" s="120">
        <v>73.7541348565845</v>
      </c>
      <c r="R86" s="120" t="s">
        <v>128</v>
      </c>
      <c r="S86" s="120">
        <v>1247.44140160845</v>
      </c>
      <c r="T86" s="120">
        <v>302.22190483730799</v>
      </c>
      <c r="U86" s="120">
        <v>2294.0677952190799</v>
      </c>
    </row>
    <row r="87" spans="1:21" x14ac:dyDescent="0.2">
      <c r="A87" s="118" t="s">
        <v>81</v>
      </c>
      <c r="B87" s="121" t="s">
        <v>163</v>
      </c>
      <c r="C87" s="120">
        <v>63142310.087494098</v>
      </c>
      <c r="D87" s="120">
        <v>54822995.776421301</v>
      </c>
      <c r="E87" s="120">
        <v>203992.22714390399</v>
      </c>
      <c r="F87" s="120">
        <v>123.278354522317</v>
      </c>
      <c r="G87" s="120">
        <v>933.28268059029301</v>
      </c>
      <c r="H87" s="120">
        <v>344.85680662278003</v>
      </c>
      <c r="I87" s="120" t="s">
        <v>128</v>
      </c>
      <c r="J87" s="120">
        <v>31240.238458096901</v>
      </c>
      <c r="K87" s="120" t="s">
        <v>128</v>
      </c>
      <c r="L87" s="120">
        <v>543.14213944440303</v>
      </c>
      <c r="M87" s="120">
        <v>1208.8154967826299</v>
      </c>
      <c r="N87" s="120" t="s">
        <v>128</v>
      </c>
      <c r="O87" s="120" t="s">
        <v>128</v>
      </c>
      <c r="P87" s="120">
        <v>330.112504207462</v>
      </c>
      <c r="Q87" s="120">
        <v>737.98598105073904</v>
      </c>
      <c r="R87" s="120" t="s">
        <v>128</v>
      </c>
      <c r="S87" s="120" t="s">
        <v>128</v>
      </c>
      <c r="T87" s="120" t="s">
        <v>128</v>
      </c>
      <c r="U87" s="120">
        <v>6451.0871650873496</v>
      </c>
    </row>
    <row r="88" spans="1:21" x14ac:dyDescent="0.2">
      <c r="A88" s="118" t="s">
        <v>82</v>
      </c>
      <c r="B88" s="121" t="s">
        <v>163</v>
      </c>
      <c r="C88" s="120">
        <v>59321661.936214402</v>
      </c>
      <c r="D88" s="120">
        <v>50198053.156265996</v>
      </c>
      <c r="E88" s="120">
        <v>238247.85667365699</v>
      </c>
      <c r="F88" s="120" t="s">
        <v>128</v>
      </c>
      <c r="G88" s="120">
        <v>1233.4293691763601</v>
      </c>
      <c r="H88" s="120">
        <v>473.20037668592801</v>
      </c>
      <c r="I88" s="120" t="s">
        <v>128</v>
      </c>
      <c r="J88" s="120">
        <v>30237.4670165977</v>
      </c>
      <c r="K88" s="120" t="s">
        <v>128</v>
      </c>
      <c r="L88" s="120" t="s">
        <v>128</v>
      </c>
      <c r="M88" s="120">
        <v>1937.1785795117</v>
      </c>
      <c r="N88" s="120" t="s">
        <v>128</v>
      </c>
      <c r="O88" s="120" t="s">
        <v>128</v>
      </c>
      <c r="P88" s="120">
        <v>395.32030241899599</v>
      </c>
      <c r="Q88" s="120">
        <v>302.942993023258</v>
      </c>
      <c r="R88" s="120" t="s">
        <v>128</v>
      </c>
      <c r="S88" s="120" t="s">
        <v>128</v>
      </c>
      <c r="T88" s="120" t="s">
        <v>128</v>
      </c>
      <c r="U88" s="120">
        <v>1099.37023599443</v>
      </c>
    </row>
    <row r="89" spans="1:21" x14ac:dyDescent="0.2">
      <c r="A89" s="118" t="s">
        <v>83</v>
      </c>
      <c r="B89" s="121" t="s">
        <v>164</v>
      </c>
      <c r="C89" s="120">
        <v>377483.73669462401</v>
      </c>
      <c r="D89" s="120">
        <v>37535.3634471287</v>
      </c>
      <c r="E89" s="120" t="s">
        <v>128</v>
      </c>
      <c r="F89" s="120">
        <v>78.476803438196598</v>
      </c>
      <c r="G89" s="120">
        <v>827.24522451909297</v>
      </c>
      <c r="H89" s="120">
        <v>269.31835015451202</v>
      </c>
      <c r="I89" s="120" t="s">
        <v>128</v>
      </c>
      <c r="J89" s="120">
        <v>46187.831078545503</v>
      </c>
      <c r="K89" s="120" t="s">
        <v>128</v>
      </c>
      <c r="L89" s="120" t="s">
        <v>128</v>
      </c>
      <c r="M89" s="120">
        <v>2756.4846396919402</v>
      </c>
      <c r="N89" s="120" t="s">
        <v>128</v>
      </c>
      <c r="O89" s="120" t="s">
        <v>128</v>
      </c>
      <c r="P89" s="120">
        <v>364.92508088554001</v>
      </c>
      <c r="Q89" s="120">
        <v>978.75807295317804</v>
      </c>
      <c r="R89" s="120" t="s">
        <v>128</v>
      </c>
      <c r="S89" s="120" t="s">
        <v>128</v>
      </c>
      <c r="T89" s="120">
        <v>285.09516772425599</v>
      </c>
      <c r="U89" s="120">
        <v>4680.1993542365699</v>
      </c>
    </row>
    <row r="90" spans="1:21" x14ac:dyDescent="0.2">
      <c r="A90" s="118" t="s">
        <v>84</v>
      </c>
      <c r="B90" s="121" t="s">
        <v>164</v>
      </c>
      <c r="C90" s="120">
        <v>553301.43988888396</v>
      </c>
      <c r="D90" s="120">
        <v>33128.440745766398</v>
      </c>
      <c r="E90" s="120" t="s">
        <v>128</v>
      </c>
      <c r="F90" s="120" t="s">
        <v>128</v>
      </c>
      <c r="G90" s="120">
        <v>1161.75862918038</v>
      </c>
      <c r="H90" s="120">
        <v>1299.27340997701</v>
      </c>
      <c r="I90" s="120" t="s">
        <v>128</v>
      </c>
      <c r="J90" s="120">
        <v>49194.797386177001</v>
      </c>
      <c r="K90" s="120" t="s">
        <v>128</v>
      </c>
      <c r="L90" s="120" t="s">
        <v>128</v>
      </c>
      <c r="M90" s="120">
        <v>2721.64588061924</v>
      </c>
      <c r="N90" s="120" t="s">
        <v>128</v>
      </c>
      <c r="O90" s="120" t="s">
        <v>128</v>
      </c>
      <c r="P90" s="120">
        <v>663.88187810220404</v>
      </c>
      <c r="Q90" s="120">
        <v>424.19896694419702</v>
      </c>
      <c r="R90" s="120" t="s">
        <v>128</v>
      </c>
      <c r="S90" s="120" t="s">
        <v>128</v>
      </c>
      <c r="T90" s="120" t="s">
        <v>128</v>
      </c>
      <c r="U90" s="120">
        <v>1111.9972282172</v>
      </c>
    </row>
    <row r="91" spans="1:21" x14ac:dyDescent="0.2">
      <c r="A91" s="118" t="s">
        <v>85</v>
      </c>
      <c r="B91" s="121" t="s">
        <v>164</v>
      </c>
      <c r="C91" s="120">
        <v>455867.62172633799</v>
      </c>
      <c r="D91" s="120">
        <v>30423.719675435099</v>
      </c>
      <c r="E91" s="120" t="s">
        <v>128</v>
      </c>
      <c r="F91" s="120" t="s">
        <v>128</v>
      </c>
      <c r="G91" s="120">
        <v>811.36276172632495</v>
      </c>
      <c r="H91" s="120">
        <v>562.28022178381195</v>
      </c>
      <c r="I91" s="120" t="s">
        <v>128</v>
      </c>
      <c r="J91" s="120">
        <v>42667.593280276698</v>
      </c>
      <c r="K91" s="120" t="s">
        <v>128</v>
      </c>
      <c r="L91" s="120">
        <v>841.932548617831</v>
      </c>
      <c r="M91" s="120">
        <v>2568.2672433839198</v>
      </c>
      <c r="N91" s="120" t="s">
        <v>128</v>
      </c>
      <c r="O91" s="120" t="s">
        <v>128</v>
      </c>
      <c r="P91" s="120">
        <v>279.317381775358</v>
      </c>
      <c r="Q91" s="120">
        <v>1015.19877136354</v>
      </c>
      <c r="R91" s="120" t="s">
        <v>128</v>
      </c>
      <c r="S91" s="120" t="s">
        <v>128</v>
      </c>
      <c r="T91" s="120" t="s">
        <v>128</v>
      </c>
      <c r="U91" s="120">
        <v>3823.4787243207902</v>
      </c>
    </row>
    <row r="92" spans="1:21" x14ac:dyDescent="0.2">
      <c r="A92" s="118" t="s">
        <v>86</v>
      </c>
      <c r="B92" s="121" t="s">
        <v>165</v>
      </c>
      <c r="C92" s="120">
        <v>57452517.922469601</v>
      </c>
      <c r="D92" s="120">
        <v>29831.026117236299</v>
      </c>
      <c r="E92" s="120">
        <v>397967.74508913403</v>
      </c>
      <c r="F92" s="120" t="s">
        <v>128</v>
      </c>
      <c r="G92" s="120">
        <v>1082.9680763505701</v>
      </c>
      <c r="H92" s="120">
        <v>165.74643717443001</v>
      </c>
      <c r="I92" s="120" t="s">
        <v>128</v>
      </c>
      <c r="J92" s="120">
        <v>32841.3112533846</v>
      </c>
      <c r="K92" s="120" t="s">
        <v>128</v>
      </c>
      <c r="L92" s="120" t="s">
        <v>128</v>
      </c>
      <c r="M92" s="120">
        <v>5784.0549023372696</v>
      </c>
      <c r="N92" s="120" t="s">
        <v>128</v>
      </c>
      <c r="O92" s="120" t="s">
        <v>128</v>
      </c>
      <c r="P92" s="120">
        <v>235.38937779015501</v>
      </c>
      <c r="Q92" s="120">
        <v>618.683811384465</v>
      </c>
      <c r="R92" s="120" t="s">
        <v>128</v>
      </c>
      <c r="S92" s="120" t="s">
        <v>128</v>
      </c>
      <c r="T92" s="120">
        <v>286.28394453530001</v>
      </c>
      <c r="U92" s="120">
        <v>1098.9405580948501</v>
      </c>
    </row>
    <row r="93" spans="1:21" x14ac:dyDescent="0.2">
      <c r="A93" s="118" t="s">
        <v>87</v>
      </c>
      <c r="B93" s="121" t="s">
        <v>165</v>
      </c>
      <c r="C93" s="120">
        <v>52265066.632427</v>
      </c>
      <c r="D93" s="120">
        <v>30377.678295337599</v>
      </c>
      <c r="E93" s="120">
        <v>423430.91731658397</v>
      </c>
      <c r="F93" s="120" t="s">
        <v>128</v>
      </c>
      <c r="G93" s="120">
        <v>1109.3584300237001</v>
      </c>
      <c r="H93" s="120">
        <v>215.773508028018</v>
      </c>
      <c r="I93" s="120" t="s">
        <v>128</v>
      </c>
      <c r="J93" s="120">
        <v>31067.698452730499</v>
      </c>
      <c r="K93" s="120" t="s">
        <v>128</v>
      </c>
      <c r="L93" s="120">
        <v>621.83418561045301</v>
      </c>
      <c r="M93" s="120">
        <v>4369.0055248032804</v>
      </c>
      <c r="N93" s="120" t="s">
        <v>128</v>
      </c>
      <c r="O93" s="120" t="s">
        <v>128</v>
      </c>
      <c r="P93" s="120">
        <v>336.50755477702103</v>
      </c>
      <c r="Q93" s="120">
        <v>380.403824182579</v>
      </c>
      <c r="R93" s="120" t="s">
        <v>128</v>
      </c>
      <c r="S93" s="120" t="s">
        <v>128</v>
      </c>
      <c r="T93" s="120">
        <v>326.67649637472698</v>
      </c>
      <c r="U93" s="120">
        <v>2180.8995972521002</v>
      </c>
    </row>
    <row r="94" spans="1:21" x14ac:dyDescent="0.2">
      <c r="A94" s="118" t="s">
        <v>88</v>
      </c>
      <c r="B94" s="121" t="s">
        <v>165</v>
      </c>
      <c r="C94" s="120">
        <v>62619774.767139196</v>
      </c>
      <c r="D94" s="120">
        <v>33356.892831392601</v>
      </c>
      <c r="E94" s="120">
        <v>345508.80977326498</v>
      </c>
      <c r="F94" s="120">
        <v>105.230759959031</v>
      </c>
      <c r="G94" s="120">
        <v>1088.9867732859</v>
      </c>
      <c r="H94" s="120">
        <v>289.42301848705199</v>
      </c>
      <c r="I94" s="120" t="s">
        <v>128</v>
      </c>
      <c r="J94" s="120">
        <v>34264.301868209899</v>
      </c>
      <c r="K94" s="120" t="s">
        <v>128</v>
      </c>
      <c r="L94" s="120" t="s">
        <v>128</v>
      </c>
      <c r="M94" s="120">
        <v>3378.0680066433702</v>
      </c>
      <c r="N94" s="120" t="s">
        <v>128</v>
      </c>
      <c r="O94" s="120" t="s">
        <v>128</v>
      </c>
      <c r="P94" s="120">
        <v>303.71171038307102</v>
      </c>
      <c r="Q94" s="120">
        <v>50.955517631339603</v>
      </c>
      <c r="R94" s="120" t="s">
        <v>128</v>
      </c>
      <c r="S94" s="120" t="s">
        <v>128</v>
      </c>
      <c r="T94" s="120">
        <v>325.91289276978802</v>
      </c>
      <c r="U94" s="120">
        <v>2949.45419636827</v>
      </c>
    </row>
    <row r="95" spans="1:21" x14ac:dyDescent="0.2">
      <c r="A95" s="118" t="s">
        <v>89</v>
      </c>
      <c r="B95" s="121" t="s">
        <v>166</v>
      </c>
      <c r="C95" s="120">
        <v>18730170.918581098</v>
      </c>
      <c r="D95" s="120">
        <v>36329316.453211397</v>
      </c>
      <c r="E95" s="120">
        <v>2225659.8084482001</v>
      </c>
      <c r="F95" s="120" t="s">
        <v>128</v>
      </c>
      <c r="G95" s="120">
        <v>731.79323935622006</v>
      </c>
      <c r="H95" s="120">
        <v>466.70339621164999</v>
      </c>
      <c r="I95" s="120" t="s">
        <v>128</v>
      </c>
      <c r="J95" s="120">
        <v>26966.532333749801</v>
      </c>
      <c r="K95" s="120" t="s">
        <v>128</v>
      </c>
      <c r="L95" s="120" t="s">
        <v>128</v>
      </c>
      <c r="M95" s="120">
        <v>1331.3179099981</v>
      </c>
      <c r="N95" s="120">
        <v>255.14280624465599</v>
      </c>
      <c r="O95" s="120" t="s">
        <v>128</v>
      </c>
      <c r="P95" s="120">
        <v>926.93306862142697</v>
      </c>
      <c r="Q95" s="120">
        <v>2346.5998428508401</v>
      </c>
      <c r="R95" s="120" t="s">
        <v>128</v>
      </c>
      <c r="S95" s="120" t="s">
        <v>128</v>
      </c>
      <c r="T95" s="120" t="s">
        <v>128</v>
      </c>
      <c r="U95" s="120">
        <v>3680.5700977880401</v>
      </c>
    </row>
    <row r="96" spans="1:21" x14ac:dyDescent="0.2">
      <c r="A96" s="118" t="s">
        <v>90</v>
      </c>
      <c r="B96" s="121" t="s">
        <v>166</v>
      </c>
      <c r="C96" s="120">
        <v>15845541.293095401</v>
      </c>
      <c r="D96" s="120">
        <v>35520675.908004403</v>
      </c>
      <c r="E96" s="120">
        <v>1428314.7538066299</v>
      </c>
      <c r="F96" s="120" t="s">
        <v>128</v>
      </c>
      <c r="G96" s="120">
        <v>882.13544200773902</v>
      </c>
      <c r="H96" s="120">
        <v>333.338618943136</v>
      </c>
      <c r="I96" s="120" t="s">
        <v>128</v>
      </c>
      <c r="J96" s="120">
        <v>23868.265166502901</v>
      </c>
      <c r="K96" s="120" t="s">
        <v>128</v>
      </c>
      <c r="L96" s="120" t="s">
        <v>128</v>
      </c>
      <c r="M96" s="120">
        <v>1604.60800956709</v>
      </c>
      <c r="N96" s="120">
        <v>485.31713610156402</v>
      </c>
      <c r="O96" s="120" t="s">
        <v>128</v>
      </c>
      <c r="P96" s="120">
        <v>277.27524555065497</v>
      </c>
      <c r="Q96" s="120">
        <v>516.05775987480104</v>
      </c>
      <c r="R96" s="120">
        <v>251.021436457085</v>
      </c>
      <c r="S96" s="120" t="s">
        <v>128</v>
      </c>
      <c r="T96" s="120">
        <v>456.644712465434</v>
      </c>
      <c r="U96" s="120">
        <v>1632.9877554346201</v>
      </c>
    </row>
    <row r="97" spans="1:21" x14ac:dyDescent="0.2">
      <c r="A97" s="118" t="s">
        <v>91</v>
      </c>
      <c r="B97" s="121" t="s">
        <v>166</v>
      </c>
      <c r="C97" s="120">
        <v>17830209.224670801</v>
      </c>
      <c r="D97" s="120">
        <v>44046832.322710298</v>
      </c>
      <c r="E97" s="120">
        <v>1606723.67199921</v>
      </c>
      <c r="F97" s="120" t="s">
        <v>128</v>
      </c>
      <c r="G97" s="120">
        <v>1111.6277289377399</v>
      </c>
      <c r="H97" s="120">
        <v>89.519681706107406</v>
      </c>
      <c r="I97" s="120" t="s">
        <v>128</v>
      </c>
      <c r="J97" s="120">
        <v>28743.781258490599</v>
      </c>
      <c r="K97" s="120" t="s">
        <v>128</v>
      </c>
      <c r="L97" s="120" t="s">
        <v>128</v>
      </c>
      <c r="M97" s="120">
        <v>1241.5430093366101</v>
      </c>
      <c r="N97" s="120" t="s">
        <v>128</v>
      </c>
      <c r="O97" s="120" t="s">
        <v>128</v>
      </c>
      <c r="P97" s="120">
        <v>207.49093404045601</v>
      </c>
      <c r="Q97" s="120">
        <v>48.4647717346568</v>
      </c>
      <c r="R97" s="120" t="s">
        <v>128</v>
      </c>
      <c r="S97" s="120" t="s">
        <v>128</v>
      </c>
      <c r="T97" s="120" t="s">
        <v>128</v>
      </c>
      <c r="U97" s="120">
        <v>1883.9511283710899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A11D-1AC0-8B48-88E0-76AF91D76A9D}">
  <dimension ref="A1:J25"/>
  <sheetViews>
    <sheetView zoomScale="50" workbookViewId="0">
      <selection activeCell="P53" sqref="P53"/>
    </sheetView>
  </sheetViews>
  <sheetFormatPr baseColWidth="10" defaultRowHeight="15" x14ac:dyDescent="0.2"/>
  <cols>
    <col min="1" max="2" width="25.83203125" style="65" bestFit="1" customWidth="1"/>
    <col min="3" max="11" width="10.83203125" style="65"/>
    <col min="12" max="12" width="38.5" style="65" customWidth="1"/>
    <col min="13" max="16384" width="10.83203125" style="65"/>
  </cols>
  <sheetData>
    <row r="1" spans="1:10" x14ac:dyDescent="0.2">
      <c r="A1" s="65" t="s">
        <v>158</v>
      </c>
      <c r="B1" s="65" t="s">
        <v>189</v>
      </c>
      <c r="C1" s="65" t="s">
        <v>4</v>
      </c>
      <c r="D1" s="65" t="s">
        <v>6</v>
      </c>
      <c r="E1" s="65" t="s">
        <v>8</v>
      </c>
      <c r="F1" s="65" t="s">
        <v>9</v>
      </c>
      <c r="G1" s="65" t="s">
        <v>10</v>
      </c>
      <c r="H1" s="65" t="s">
        <v>11</v>
      </c>
      <c r="I1" s="65" t="s">
        <v>12</v>
      </c>
      <c r="J1" s="65" t="s">
        <v>93</v>
      </c>
    </row>
    <row r="2" spans="1:10" ht="16" x14ac:dyDescent="0.2">
      <c r="A2" s="56" t="s">
        <v>159</v>
      </c>
      <c r="B2" s="56">
        <v>1</v>
      </c>
      <c r="C2" s="65">
        <v>0.27547229402400425</v>
      </c>
      <c r="D2" s="65">
        <v>0.22496306908407132</v>
      </c>
      <c r="E2" s="65">
        <v>0.28431009204025726</v>
      </c>
      <c r="F2" s="65">
        <v>-0.68928384809604049</v>
      </c>
      <c r="G2" s="65">
        <v>2.2842835979889822</v>
      </c>
      <c r="H2" s="65">
        <v>0</v>
      </c>
      <c r="I2" s="65">
        <v>2.8863200724799922</v>
      </c>
      <c r="J2" s="65">
        <v>17.485535453475556</v>
      </c>
    </row>
    <row r="3" spans="1:10" ht="16" x14ac:dyDescent="0.2">
      <c r="A3" s="56" t="s">
        <v>159</v>
      </c>
      <c r="B3" s="56">
        <v>1</v>
      </c>
      <c r="C3" s="65">
        <v>0.38723567289767713</v>
      </c>
      <c r="D3" s="65">
        <v>0.31729303632459482</v>
      </c>
      <c r="E3" s="65">
        <v>0.40298741928167003</v>
      </c>
      <c r="F3" s="65">
        <v>-0.82886449885839331</v>
      </c>
      <c r="G3" s="65">
        <v>3.0923490113554299</v>
      </c>
      <c r="H3" s="65">
        <v>0</v>
      </c>
      <c r="I3" s="65">
        <v>4.3795870996004815</v>
      </c>
      <c r="J3" s="65">
        <v>22.671424881462759</v>
      </c>
    </row>
    <row r="4" spans="1:10" ht="16" x14ac:dyDescent="0.2">
      <c r="A4" s="56" t="s">
        <v>159</v>
      </c>
      <c r="B4" s="56">
        <v>1</v>
      </c>
      <c r="C4" s="65">
        <v>0.3867970365845671</v>
      </c>
      <c r="D4" s="65">
        <v>0.31367465189532423</v>
      </c>
      <c r="E4" s="65">
        <v>0.39953726708023857</v>
      </c>
      <c r="F4" s="65">
        <v>-1.5454547590487788E-2</v>
      </c>
      <c r="G4" s="65">
        <v>3.282810478815525</v>
      </c>
      <c r="H4" s="65">
        <v>0</v>
      </c>
      <c r="I4" s="65">
        <v>5.1543462131678099</v>
      </c>
      <c r="J4" s="65">
        <v>19.408942146859335</v>
      </c>
    </row>
    <row r="5" spans="1:10" ht="16" x14ac:dyDescent="0.2">
      <c r="A5" s="56" t="s">
        <v>160</v>
      </c>
      <c r="B5" s="56">
        <v>1</v>
      </c>
      <c r="C5" s="65">
        <v>0.33962216440568915</v>
      </c>
      <c r="D5" s="65">
        <v>0.28298467591802551</v>
      </c>
      <c r="E5" s="65">
        <v>0.36438326708776786</v>
      </c>
      <c r="F5" s="65">
        <v>2.0861071800307229</v>
      </c>
      <c r="G5" s="65">
        <v>1.3594615671631964</v>
      </c>
      <c r="H5" s="65">
        <v>0</v>
      </c>
      <c r="I5" s="65">
        <v>5.7071588034023257</v>
      </c>
      <c r="J5" s="65">
        <v>12.03933749152019</v>
      </c>
    </row>
    <row r="6" spans="1:10" ht="16" x14ac:dyDescent="0.2">
      <c r="A6" s="56" t="s">
        <v>160</v>
      </c>
      <c r="B6" s="56">
        <v>1</v>
      </c>
      <c r="C6" s="65">
        <v>0.35342302603255171</v>
      </c>
      <c r="D6" s="65">
        <v>0.29168440413350566</v>
      </c>
      <c r="E6" s="65">
        <v>0.39479081724632553</v>
      </c>
      <c r="F6" s="65">
        <v>4.4139701084844605</v>
      </c>
      <c r="G6" s="65">
        <v>1.9364649306416712</v>
      </c>
      <c r="H6" s="65">
        <v>0</v>
      </c>
      <c r="I6" s="65">
        <v>7.7512734179621594</v>
      </c>
      <c r="J6" s="65">
        <v>15.967848923932522</v>
      </c>
    </row>
    <row r="7" spans="1:10" ht="16" x14ac:dyDescent="0.2">
      <c r="A7" s="56" t="s">
        <v>160</v>
      </c>
      <c r="B7" s="56">
        <v>1</v>
      </c>
      <c r="C7" s="65">
        <v>0.87312718395609812</v>
      </c>
      <c r="D7" s="65">
        <v>0.73333483630973539</v>
      </c>
      <c r="E7" s="65">
        <v>0.94435198301787848</v>
      </c>
      <c r="F7" s="65">
        <v>11.368942180532878</v>
      </c>
      <c r="G7" s="65">
        <v>3.8528905267628453</v>
      </c>
      <c r="H7" s="65">
        <v>0</v>
      </c>
      <c r="I7" s="65">
        <v>16.816426723655606</v>
      </c>
      <c r="J7" s="65">
        <v>26.803654665307484</v>
      </c>
    </row>
    <row r="8" spans="1:10" ht="16" x14ac:dyDescent="0.2">
      <c r="A8" s="56" t="s">
        <v>161</v>
      </c>
      <c r="B8" s="56">
        <v>1</v>
      </c>
      <c r="C8" s="65">
        <v>0.53074109393741631</v>
      </c>
      <c r="D8" s="65">
        <v>0.43215143020854241</v>
      </c>
      <c r="E8" s="65">
        <v>0.55447036446681863</v>
      </c>
      <c r="F8" s="65">
        <v>-1.6952838555731116</v>
      </c>
      <c r="G8" s="65">
        <v>2.5892079187770931</v>
      </c>
      <c r="H8" s="65">
        <v>0</v>
      </c>
      <c r="I8" s="65">
        <v>4.1412233445851738</v>
      </c>
      <c r="J8" s="65">
        <v>37.228968662026041</v>
      </c>
    </row>
    <row r="9" spans="1:10" ht="16" x14ac:dyDescent="0.2">
      <c r="A9" s="56" t="s">
        <v>161</v>
      </c>
      <c r="B9" s="56">
        <v>1</v>
      </c>
      <c r="C9" s="65">
        <v>0.32141526402953835</v>
      </c>
      <c r="D9" s="65">
        <v>0.26047480463333317</v>
      </c>
      <c r="E9" s="65">
        <v>0.33512384525140182</v>
      </c>
      <c r="F9" s="65">
        <v>-1.0011005651452045</v>
      </c>
      <c r="G9" s="65">
        <v>1.6285334394310174</v>
      </c>
      <c r="H9" s="65">
        <v>0</v>
      </c>
      <c r="I9" s="65">
        <v>2.6261433078943517</v>
      </c>
      <c r="J9" s="65">
        <v>22.752036982246018</v>
      </c>
    </row>
    <row r="10" spans="1:10" ht="16" x14ac:dyDescent="0.2">
      <c r="A10" s="56" t="s">
        <v>161</v>
      </c>
      <c r="B10" s="56">
        <v>1</v>
      </c>
      <c r="C10" s="65">
        <v>0.46451726744316857</v>
      </c>
      <c r="D10" s="65">
        <v>0.37744760586678189</v>
      </c>
      <c r="E10" s="65">
        <v>0.48335374011191146</v>
      </c>
      <c r="F10" s="65">
        <v>-1.3569515013999549</v>
      </c>
      <c r="G10" s="65">
        <v>2.4285519850701998</v>
      </c>
      <c r="H10" s="65">
        <v>0</v>
      </c>
      <c r="I10" s="65">
        <v>3.9487627854359122</v>
      </c>
      <c r="J10" s="65">
        <v>35.580192660069606</v>
      </c>
    </row>
    <row r="11" spans="1:10" ht="16" x14ac:dyDescent="0.2">
      <c r="A11" s="56" t="s">
        <v>162</v>
      </c>
      <c r="B11" s="56">
        <v>1</v>
      </c>
      <c r="C11" s="65">
        <v>0.89611297328734607</v>
      </c>
      <c r="D11" s="65">
        <v>0.73336394084407408</v>
      </c>
      <c r="E11" s="65">
        <v>0.92484811629871255</v>
      </c>
      <c r="F11" s="65">
        <v>-2.8736326950731303</v>
      </c>
      <c r="G11" s="65">
        <v>8.2036065861839678</v>
      </c>
      <c r="H11" s="65">
        <v>0</v>
      </c>
      <c r="I11" s="65">
        <v>7.4521758964468559</v>
      </c>
      <c r="J11" s="65">
        <v>57.04835199730595</v>
      </c>
    </row>
    <row r="12" spans="1:10" ht="16" x14ac:dyDescent="0.2">
      <c r="A12" s="56" t="s">
        <v>162</v>
      </c>
      <c r="B12" s="56">
        <v>1</v>
      </c>
      <c r="C12" s="65">
        <v>0.30092083355880572</v>
      </c>
      <c r="D12" s="65">
        <v>0.24595874935748674</v>
      </c>
      <c r="E12" s="65">
        <v>0.3147743013911215</v>
      </c>
      <c r="F12" s="65">
        <v>-0.97833211536925746</v>
      </c>
      <c r="G12" s="65">
        <v>2.4565245409092324</v>
      </c>
      <c r="H12" s="65">
        <v>0</v>
      </c>
      <c r="I12" s="65">
        <v>2.2281701958179609</v>
      </c>
      <c r="J12" s="65">
        <v>17.969767193122749</v>
      </c>
    </row>
    <row r="13" spans="1:10" ht="16" x14ac:dyDescent="0.2">
      <c r="A13" s="56" t="s">
        <v>162</v>
      </c>
      <c r="B13" s="56">
        <v>1</v>
      </c>
      <c r="C13" s="65">
        <v>0.29817638539645397</v>
      </c>
      <c r="D13" s="65">
        <v>0.24548594169805815</v>
      </c>
      <c r="E13" s="65">
        <v>0.31832208509023729</v>
      </c>
      <c r="F13" s="65">
        <v>-0.92717334450231581</v>
      </c>
      <c r="G13" s="65">
        <v>2.7645536844778986</v>
      </c>
      <c r="H13" s="65">
        <v>0</v>
      </c>
      <c r="I13" s="65">
        <v>2.3511271523747728</v>
      </c>
      <c r="J13" s="65">
        <v>18.697554356308853</v>
      </c>
    </row>
    <row r="14" spans="1:10" ht="16" x14ac:dyDescent="0.2">
      <c r="A14" s="56" t="s">
        <v>163</v>
      </c>
      <c r="B14" s="56">
        <v>3</v>
      </c>
      <c r="C14" s="65">
        <v>0.44066068018427229</v>
      </c>
      <c r="D14" s="65">
        <v>0.32711247135474758</v>
      </c>
      <c r="E14" s="65">
        <v>0.47635202286142769</v>
      </c>
      <c r="F14" s="65">
        <v>-1.4248584011665213</v>
      </c>
      <c r="G14" s="65">
        <v>9.7331923162995437</v>
      </c>
      <c r="H14" s="65">
        <v>6.242876866859393</v>
      </c>
      <c r="I14" s="65">
        <v>8.6938287120122411</v>
      </c>
      <c r="J14" s="65">
        <v>88.625911639383261</v>
      </c>
    </row>
    <row r="15" spans="1:10" ht="16" x14ac:dyDescent="0.2">
      <c r="A15" s="56" t="s">
        <v>163</v>
      </c>
      <c r="B15" s="56">
        <v>3</v>
      </c>
      <c r="C15" s="65">
        <v>1.1600854081368368</v>
      </c>
      <c r="D15" s="65">
        <v>0.87625713332922617</v>
      </c>
      <c r="E15" s="65">
        <v>1.2715042465551096</v>
      </c>
      <c r="F15" s="65">
        <v>-1.2049207798468056</v>
      </c>
      <c r="G15" s="65">
        <v>22.543076190659775</v>
      </c>
      <c r="H15" s="65">
        <v>16.932363993308275</v>
      </c>
      <c r="I15" s="65">
        <v>21.007147874250617</v>
      </c>
      <c r="J15" s="65">
        <v>195.67110307703771</v>
      </c>
    </row>
    <row r="16" spans="1:10" ht="16" x14ac:dyDescent="0.2">
      <c r="A16" s="56" t="s">
        <v>163</v>
      </c>
      <c r="B16" s="56">
        <v>3</v>
      </c>
      <c r="C16" s="65">
        <v>0.82834433082714032</v>
      </c>
      <c r="D16" s="65">
        <v>0.60625786156006878</v>
      </c>
      <c r="E16" s="65">
        <v>0.94141423628538401</v>
      </c>
      <c r="F16" s="65">
        <v>-0.29044586776411097</v>
      </c>
      <c r="G16" s="65">
        <v>19.06281145440467</v>
      </c>
      <c r="H16" s="65">
        <v>12.035263701442513</v>
      </c>
      <c r="I16" s="65">
        <v>16.711181812916422</v>
      </c>
      <c r="J16" s="65">
        <v>162.84315488771119</v>
      </c>
    </row>
    <row r="17" spans="1:10" ht="16" x14ac:dyDescent="0.2">
      <c r="A17" s="56" t="s">
        <v>164</v>
      </c>
      <c r="B17" s="56">
        <v>3</v>
      </c>
      <c r="C17" s="65">
        <v>0.64419976396220047</v>
      </c>
      <c r="D17" s="65">
        <v>0.53133681119420484</v>
      </c>
      <c r="E17" s="65">
        <v>0.62602679941189843</v>
      </c>
      <c r="F17" s="65">
        <v>46.216394759686935</v>
      </c>
      <c r="G17" s="65">
        <v>2.561886054842772</v>
      </c>
      <c r="H17" s="65">
        <v>10.198227335841359</v>
      </c>
      <c r="I17" s="65">
        <v>34.344626769175221</v>
      </c>
      <c r="J17" s="65">
        <v>40.990937462293417</v>
      </c>
    </row>
    <row r="18" spans="1:10" ht="16" x14ac:dyDescent="0.2">
      <c r="A18" s="56" t="s">
        <v>164</v>
      </c>
      <c r="B18" s="56">
        <v>3</v>
      </c>
      <c r="C18" s="65">
        <v>0.81288820100848758</v>
      </c>
      <c r="D18" s="65">
        <v>0.68126210998356573</v>
      </c>
      <c r="E18" s="65">
        <v>1.0641401677280302</v>
      </c>
      <c r="F18" s="65">
        <v>35.756343089502685</v>
      </c>
      <c r="G18" s="65">
        <v>2.5048048867216859</v>
      </c>
      <c r="H18" s="65">
        <v>13.169858227468486</v>
      </c>
      <c r="I18" s="65">
        <v>39.714792312624638</v>
      </c>
      <c r="J18" s="65">
        <v>61.387202668286953</v>
      </c>
    </row>
    <row r="19" spans="1:10" ht="16" x14ac:dyDescent="0.2">
      <c r="A19" s="56" t="s">
        <v>164</v>
      </c>
      <c r="B19" s="56">
        <v>3</v>
      </c>
      <c r="C19" s="65">
        <v>1.2751625305294161</v>
      </c>
      <c r="D19" s="65">
        <v>1.0641945181101979</v>
      </c>
      <c r="E19" s="65">
        <v>1.7097071508638277</v>
      </c>
      <c r="F19" s="65">
        <v>53.144235108080842</v>
      </c>
      <c r="G19" s="65">
        <v>4.5813000209582766</v>
      </c>
      <c r="H19" s="65">
        <v>20.648413539999336</v>
      </c>
      <c r="I19" s="65">
        <v>70.313793450162478</v>
      </c>
      <c r="J19" s="65">
        <v>139.43269042797056</v>
      </c>
    </row>
    <row r="20" spans="1:10" ht="16" x14ac:dyDescent="0.2">
      <c r="A20" s="56" t="s">
        <v>165</v>
      </c>
      <c r="B20" s="56">
        <v>3</v>
      </c>
      <c r="C20" s="65">
        <v>0.38911179000941482</v>
      </c>
      <c r="D20" s="65">
        <v>0.28668027602320389</v>
      </c>
      <c r="E20" s="65">
        <v>0.43352872662403596</v>
      </c>
      <c r="F20" s="65">
        <v>-0.60192138346022839</v>
      </c>
      <c r="G20" s="65">
        <v>1.2622373136346317</v>
      </c>
      <c r="H20" s="65">
        <v>5.6273978903564856</v>
      </c>
      <c r="I20" s="65">
        <v>5.3492498769805854</v>
      </c>
      <c r="J20" s="65">
        <v>75.863712994978755</v>
      </c>
    </row>
    <row r="21" spans="1:10" ht="16" x14ac:dyDescent="0.2">
      <c r="A21" s="56" t="s">
        <v>165</v>
      </c>
      <c r="B21" s="56">
        <v>3</v>
      </c>
      <c r="C21" s="65">
        <v>0.54445526291721424</v>
      </c>
      <c r="D21" s="65">
        <v>0.39540363488389135</v>
      </c>
      <c r="E21" s="65">
        <v>0.60775890118705178</v>
      </c>
      <c r="F21" s="65">
        <v>-0.99343098676420627</v>
      </c>
      <c r="G21" s="65">
        <v>1.7841001723561229</v>
      </c>
      <c r="H21" s="65">
        <v>7.7666889864868773</v>
      </c>
      <c r="I21" s="65">
        <v>7.3930082600174298</v>
      </c>
      <c r="J21" s="65">
        <v>101.25758408385265</v>
      </c>
    </row>
    <row r="22" spans="1:10" ht="16" x14ac:dyDescent="0.2">
      <c r="A22" s="56" t="s">
        <v>165</v>
      </c>
      <c r="B22" s="56">
        <v>3</v>
      </c>
      <c r="C22" s="65">
        <v>0.43842099789890954</v>
      </c>
      <c r="D22" s="65">
        <v>0.32146070524249842</v>
      </c>
      <c r="E22" s="65">
        <v>0.49473073336687406</v>
      </c>
      <c r="F22" s="65">
        <v>-0.66070250582627854</v>
      </c>
      <c r="G22" s="65">
        <v>1.4487928036465847</v>
      </c>
      <c r="H22" s="65">
        <v>6.1430319143330649</v>
      </c>
      <c r="I22" s="65">
        <v>5.7834444425235807</v>
      </c>
      <c r="J22" s="65">
        <v>84.706319222188043</v>
      </c>
    </row>
    <row r="23" spans="1:10" ht="16" x14ac:dyDescent="0.2">
      <c r="A23" s="56" t="s">
        <v>166</v>
      </c>
      <c r="B23" s="56">
        <v>3</v>
      </c>
      <c r="C23" s="65">
        <v>0.35499849770526792</v>
      </c>
      <c r="D23" s="65">
        <v>0.26691867722283857</v>
      </c>
      <c r="E23" s="65">
        <v>0.39566276807957451</v>
      </c>
      <c r="F23" s="65">
        <v>-0.68649391213262578</v>
      </c>
      <c r="G23" s="65">
        <v>7.5279536633150999</v>
      </c>
      <c r="H23" s="65">
        <v>5.0516423545224249</v>
      </c>
      <c r="I23" s="65">
        <v>4.7526829015488889</v>
      </c>
      <c r="J23" s="65">
        <v>59.536014924670894</v>
      </c>
    </row>
    <row r="24" spans="1:10" ht="16" x14ac:dyDescent="0.2">
      <c r="A24" s="56" t="s">
        <v>166</v>
      </c>
      <c r="B24" s="56">
        <v>3</v>
      </c>
      <c r="C24" s="65">
        <v>1.3237856061828377</v>
      </c>
      <c r="D24" s="65">
        <v>0.98268904540424529</v>
      </c>
      <c r="E24" s="65">
        <v>1.1481134825658628</v>
      </c>
      <c r="F24" s="65">
        <v>-2.9607957749702583</v>
      </c>
      <c r="G24" s="65">
        <v>27.963444684890685</v>
      </c>
      <c r="H24" s="65">
        <v>19.097578813218529</v>
      </c>
      <c r="I24" s="65">
        <v>15.317682672771062</v>
      </c>
      <c r="J24" s="65">
        <v>197.23153998407139</v>
      </c>
    </row>
    <row r="25" spans="1:10" ht="16" x14ac:dyDescent="0.2">
      <c r="A25" s="56" t="s">
        <v>166</v>
      </c>
      <c r="B25" s="56">
        <v>3</v>
      </c>
      <c r="C25" s="65">
        <v>0.53630566311085148</v>
      </c>
      <c r="D25" s="65">
        <v>0.40282114444326045</v>
      </c>
      <c r="E25" s="65">
        <v>0.60316775803203659</v>
      </c>
      <c r="F25" s="65">
        <v>-1.21121373932689</v>
      </c>
      <c r="G25" s="65">
        <v>10.938544026711648</v>
      </c>
      <c r="H25" s="65">
        <v>7.7281343686577397</v>
      </c>
      <c r="I25" s="65">
        <v>5.9621816239498013</v>
      </c>
      <c r="J25" s="65">
        <v>84.61827770964446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</vt:lpstr>
      <vt:lpstr>Area (final)</vt:lpstr>
      <vt:lpstr>uM (final) </vt:lpstr>
      <vt:lpstr>Calibration curve</vt:lpstr>
      <vt:lpstr>Area (LOQ)</vt:lpstr>
      <vt:lpstr>Area</vt:lpstr>
      <vt:lpstr>RT</vt:lpstr>
      <vt:lpstr>Height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 Elise Høyland</dc:creator>
  <cp:keywords/>
  <dc:description/>
  <cp:lastModifiedBy>Marcus Dalaker Figenschou</cp:lastModifiedBy>
  <cp:revision/>
  <dcterms:created xsi:type="dcterms:W3CDTF">2025-11-04T08:22:33Z</dcterms:created>
  <dcterms:modified xsi:type="dcterms:W3CDTF">2025-12-18T18:02:32Z</dcterms:modified>
  <cp:category/>
  <cp:contentStatus/>
</cp:coreProperties>
</file>